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ÃO - PALPITES" sheetId="1" r:id="rId5"/>
    <sheet state="visible" name="BOLÃO - TABELA" sheetId="2" r:id="rId6"/>
    <sheet state="visible" name="BOLÃO - PAGAMENTO" sheetId="3" r:id="rId7"/>
    <sheet state="visible" name="RANKING" sheetId="4" r:id="rId8"/>
  </sheets>
  <definedNames/>
  <calcPr/>
</workbook>
</file>

<file path=xl/sharedStrings.xml><?xml version="1.0" encoding="utf-8"?>
<sst xmlns="http://schemas.openxmlformats.org/spreadsheetml/2006/main" count="806" uniqueCount="238">
  <si>
    <t>QUINTA</t>
  </si>
  <si>
    <t>SEXTA</t>
  </si>
  <si>
    <t>SÁBADO</t>
  </si>
  <si>
    <t>DOMINGO</t>
  </si>
  <si>
    <t>SEGUNDA</t>
  </si>
  <si>
    <t>DIA 1 - 11/06</t>
  </si>
  <si>
    <t>MÉX x AFS</t>
  </si>
  <si>
    <t>COR x TCH</t>
  </si>
  <si>
    <t>TOTAL</t>
  </si>
  <si>
    <t>Meus palpites (Nicolas)</t>
  </si>
  <si>
    <t>DIA 2 - 12/6</t>
  </si>
  <si>
    <t>CAN x BOS</t>
  </si>
  <si>
    <t>EUA x PAR</t>
  </si>
  <si>
    <t>DIA 3 - 13/06</t>
  </si>
  <si>
    <t>CAT x SUI</t>
  </si>
  <si>
    <t>BRA x MAR</t>
  </si>
  <si>
    <t>HAI x ESC</t>
  </si>
  <si>
    <t>AUS x TUR</t>
  </si>
  <si>
    <t>DIA 4 - 14/06</t>
  </si>
  <si>
    <t>ALE x CUR</t>
  </si>
  <si>
    <t>HOL x JAP</t>
  </si>
  <si>
    <t>COM x EQU</t>
  </si>
  <si>
    <t>SUE x TUN</t>
  </si>
  <si>
    <t>DIA 5 - 15/06</t>
  </si>
  <si>
    <t>ESP x CAB</t>
  </si>
  <si>
    <t>BEL x EGI</t>
  </si>
  <si>
    <t>ARA x URU</t>
  </si>
  <si>
    <t>IRÃ x NZL</t>
  </si>
  <si>
    <t>Alisson Garcia</t>
  </si>
  <si>
    <t>3x0</t>
  </si>
  <si>
    <t>1x2</t>
  </si>
  <si>
    <t>16:00 México x África do Sul</t>
  </si>
  <si>
    <t>2x1</t>
  </si>
  <si>
    <t>1x1</t>
  </si>
  <si>
    <t>16:00 Canadá x Bósnia</t>
  </si>
  <si>
    <t>0x4</t>
  </si>
  <si>
    <t>3x1</t>
  </si>
  <si>
    <t>0x3</t>
  </si>
  <si>
    <t>Brenno</t>
  </si>
  <si>
    <t>Bianca Leite</t>
  </si>
  <si>
    <t>1x0</t>
  </si>
  <si>
    <t>23:00 Coréia do Sul x Tchéquia</t>
  </si>
  <si>
    <t>22:00 Estados Unidos x Paraguai</t>
  </si>
  <si>
    <t>3x2</t>
  </si>
  <si>
    <t>1x3</t>
  </si>
  <si>
    <t>Bernardo</t>
  </si>
  <si>
    <t>0x1</t>
  </si>
  <si>
    <t>0x2</t>
  </si>
  <si>
    <t>Caio Borges</t>
  </si>
  <si>
    <t>Brenno Vergara</t>
  </si>
  <si>
    <t>2x2</t>
  </si>
  <si>
    <t>Gabriel Mendes</t>
  </si>
  <si>
    <t>2x0</t>
  </si>
  <si>
    <t>16:00 Catar x Suíça</t>
  </si>
  <si>
    <t>Karen</t>
  </si>
  <si>
    <t>Eduarda Peres</t>
  </si>
  <si>
    <t>19:00 Brasil x Marrocos</t>
  </si>
  <si>
    <t>Lucas</t>
  </si>
  <si>
    <t>22:00 Haiti x Escócia</t>
  </si>
  <si>
    <t>Maria Clara</t>
  </si>
  <si>
    <t>Guilherme Valadares</t>
  </si>
  <si>
    <t>01:00 Austrália x Turquia</t>
  </si>
  <si>
    <t>Nicolas</t>
  </si>
  <si>
    <t>Karen Milene</t>
  </si>
  <si>
    <t>Cravada = 5pts</t>
  </si>
  <si>
    <t>Victor</t>
  </si>
  <si>
    <t>Karolyne Azola</t>
  </si>
  <si>
    <t>Placar/vencedor = 2pts</t>
  </si>
  <si>
    <t>Vinicius</t>
  </si>
  <si>
    <t>Lucas de Morais</t>
  </si>
  <si>
    <t>Vitor</t>
  </si>
  <si>
    <t>Janiele Cristina</t>
  </si>
  <si>
    <t>RESULTADO</t>
  </si>
  <si>
    <t>José Flávio</t>
  </si>
  <si>
    <t>Maria Clara Alonso</t>
  </si>
  <si>
    <t>0x0</t>
  </si>
  <si>
    <t>13:00 Espanha x Cabo Verde</t>
  </si>
  <si>
    <t>19:00 Arábia Saudita x Uruguai</t>
  </si>
  <si>
    <t>Maria Claudia</t>
  </si>
  <si>
    <t>16:00 Bélgica x Egito</t>
  </si>
  <si>
    <t>22:00 Irã x Nova Zelândia</t>
  </si>
  <si>
    <t>Mateus Hirata</t>
  </si>
  <si>
    <t>2x3</t>
  </si>
  <si>
    <t>Rodrigo Gomes</t>
  </si>
  <si>
    <t>DIA 10 - 20/06</t>
  </si>
  <si>
    <t>HOL x SUE</t>
  </si>
  <si>
    <t>ALE x COM</t>
  </si>
  <si>
    <t>EQU x CUR</t>
  </si>
  <si>
    <t>TUN x JAP</t>
  </si>
  <si>
    <t>Victor Guimarães</t>
  </si>
  <si>
    <t>n mandou</t>
  </si>
  <si>
    <t>-</t>
  </si>
  <si>
    <t>Victor Martins</t>
  </si>
  <si>
    <t>Vitor de Souza</t>
  </si>
  <si>
    <t>4x1</t>
  </si>
  <si>
    <t>TERÇA</t>
  </si>
  <si>
    <t>QUARTA</t>
  </si>
  <si>
    <t>DIA 6 - 16/06</t>
  </si>
  <si>
    <t>FRA x SEN</t>
  </si>
  <si>
    <t>IRQ x NOR</t>
  </si>
  <si>
    <t>ARG x AGL</t>
  </si>
  <si>
    <t>ÁUS x JOR</t>
  </si>
  <si>
    <t>DIA 7 - 17/06</t>
  </si>
  <si>
    <t>POR x RDC</t>
  </si>
  <si>
    <t>ING x CRO</t>
  </si>
  <si>
    <t>GAN x PAN</t>
  </si>
  <si>
    <t>UZB x COL</t>
  </si>
  <si>
    <t>DIA 8 - 18/06</t>
  </si>
  <si>
    <t>TCH x AFS</t>
  </si>
  <si>
    <t>SUI x BOS</t>
  </si>
  <si>
    <t>CAN x CAT</t>
  </si>
  <si>
    <t>MÉX x COR</t>
  </si>
  <si>
    <t>DIA 9 - 19/06</t>
  </si>
  <si>
    <t>EUA x AUS</t>
  </si>
  <si>
    <t>ESC x MAR</t>
  </si>
  <si>
    <t>BRA x HAI</t>
  </si>
  <si>
    <t>TUR x PAR</t>
  </si>
  <si>
    <t>14:00 Holanda x Suécia</t>
  </si>
  <si>
    <t>21:00 Equador x Curaçao</t>
  </si>
  <si>
    <t>17:00 Alemanha x Costa do Marfim</t>
  </si>
  <si>
    <t>01:00 Tunísia x Japão</t>
  </si>
  <si>
    <t>16:00 França x Senegal</t>
  </si>
  <si>
    <t>22:00 Argentina x Argélia</t>
  </si>
  <si>
    <t>14:00 Portugal x RD Congo</t>
  </si>
  <si>
    <t>20:00 Gana x Panamá</t>
  </si>
  <si>
    <t>13:00 Tchéquia x África do Sul</t>
  </si>
  <si>
    <t>19:00 Canadá x Catar</t>
  </si>
  <si>
    <t>19:00 Iraque x Noruega</t>
  </si>
  <si>
    <t>01:00 Áustria x Jordânia</t>
  </si>
  <si>
    <t>17:00 Inglaterra x Croácia</t>
  </si>
  <si>
    <t>23:00 Uzbequistão x Colômbia</t>
  </si>
  <si>
    <t>16:00 Suíça x Bósnia</t>
  </si>
  <si>
    <t>22:00 México x Coreia do Sul</t>
  </si>
  <si>
    <t>DIA 11 - 21/06</t>
  </si>
  <si>
    <t>ESP x ARA</t>
  </si>
  <si>
    <t>BEL x IRA</t>
  </si>
  <si>
    <t>URU x CAB</t>
  </si>
  <si>
    <t>NZL x EGI</t>
  </si>
  <si>
    <t>DIA 12 - 22/06</t>
  </si>
  <si>
    <t>ARG x ÁUS</t>
  </si>
  <si>
    <t>FRA x IRQ</t>
  </si>
  <si>
    <t>NOR x SEN</t>
  </si>
  <si>
    <t>JOR x AGL</t>
  </si>
  <si>
    <t>DIA 13 - 23/6</t>
  </si>
  <si>
    <t>POR x UZB</t>
  </si>
  <si>
    <t>ING x GAN</t>
  </si>
  <si>
    <t>PAN x CRO</t>
  </si>
  <si>
    <t>COL x RDC</t>
  </si>
  <si>
    <t>13:00 Espanha x Arábia Saudita</t>
  </si>
  <si>
    <t>19:00 Uruguai x Cabo Verde</t>
  </si>
  <si>
    <t>14:00 Argentina x Áustria</t>
  </si>
  <si>
    <t>21:00 Noruega x Senegal</t>
  </si>
  <si>
    <t>14:00 Portugal x Uzbequistão</t>
  </si>
  <si>
    <t>16:00 Bélgica x Irã</t>
  </si>
  <si>
    <t>22:00 Nova Zelândia x Egito</t>
  </si>
  <si>
    <t>16:00 França x Iraque</t>
  </si>
  <si>
    <t>00:00 Jordânia x Argélia</t>
  </si>
  <si>
    <t>17:00 Inglaterra x Gana</t>
  </si>
  <si>
    <t>23:00 Colômbia x RD Congo</t>
  </si>
  <si>
    <t>DIA 14 - 24/6</t>
  </si>
  <si>
    <t>SUI x CAN</t>
  </si>
  <si>
    <t>BOS x CAT</t>
  </si>
  <si>
    <t>MAR x HAI</t>
  </si>
  <si>
    <t>ESC x BRA</t>
  </si>
  <si>
    <t>AFS x COR</t>
  </si>
  <si>
    <t>TCH x MEX</t>
  </si>
  <si>
    <t>DIA 15 - 25/6</t>
  </si>
  <si>
    <t>CUR x COM</t>
  </si>
  <si>
    <t>EQU x ALE</t>
  </si>
  <si>
    <t>TUN x HOL</t>
  </si>
  <si>
    <t>JAP x SUE</t>
  </si>
  <si>
    <t>TUR x EUA</t>
  </si>
  <si>
    <t>PAR x AUS</t>
  </si>
  <si>
    <t>DIA 16 - 26/6</t>
  </si>
  <si>
    <t>NOR x FRA</t>
  </si>
  <si>
    <t>SEN x IRQ</t>
  </si>
  <si>
    <t>CAB x ARA</t>
  </si>
  <si>
    <t>URU x ESP</t>
  </si>
  <si>
    <t>NZL x BEL</t>
  </si>
  <si>
    <t>EGI x IRA</t>
  </si>
  <si>
    <t>Suiça x Canadá</t>
  </si>
  <si>
    <t>Bósnia x Catar</t>
  </si>
  <si>
    <t>Curação x Costa do Marfim</t>
  </si>
  <si>
    <t>Equador x Alemanha</t>
  </si>
  <si>
    <t>Noruega x França</t>
  </si>
  <si>
    <t>Senegal x Iraque</t>
  </si>
  <si>
    <t>Marrocos x Haiti</t>
  </si>
  <si>
    <t>Escócia x Brasil</t>
  </si>
  <si>
    <t>Tunísia x Holanda</t>
  </si>
  <si>
    <t>Japão x Suécia</t>
  </si>
  <si>
    <t>Cabo Verde x Arábia Saudita</t>
  </si>
  <si>
    <t>Uruguai x Espanha</t>
  </si>
  <si>
    <t>África do Sul x Coreia do Sul</t>
  </si>
  <si>
    <t>Turquia x Estados Unidos</t>
  </si>
  <si>
    <t>Paraguai x Austrália</t>
  </si>
  <si>
    <t>Nova Zelândia x Bélgica</t>
  </si>
  <si>
    <t>Egito x Irã</t>
  </si>
  <si>
    <t>18:00</t>
  </si>
  <si>
    <t>20:30</t>
  </si>
  <si>
    <t>23:00</t>
  </si>
  <si>
    <t>DIA 17 - 27/06</t>
  </si>
  <si>
    <t>PAN x ING</t>
  </si>
  <si>
    <t>CRO x GAN</t>
  </si>
  <si>
    <t>COL x POR</t>
  </si>
  <si>
    <t>RDC x UZB</t>
  </si>
  <si>
    <t>ALG x ÁUS</t>
  </si>
  <si>
    <t>JOR x ARG</t>
  </si>
  <si>
    <t>POSIÇÃO</t>
  </si>
  <si>
    <t>TABELA</t>
  </si>
  <si>
    <t>PONTOS (CRAVADAS)</t>
  </si>
  <si>
    <t>12 (2)</t>
  </si>
  <si>
    <t>10 (2)</t>
  </si>
  <si>
    <t>9 (1)</t>
  </si>
  <si>
    <t>7 (1)</t>
  </si>
  <si>
    <t>Cravada</t>
  </si>
  <si>
    <t>5pts</t>
  </si>
  <si>
    <t>Apenas vencedor/empate</t>
  </si>
  <si>
    <t>2pts</t>
  </si>
  <si>
    <t>5 (1)</t>
  </si>
  <si>
    <t>Vinicius Campos</t>
  </si>
  <si>
    <t>4 (0)</t>
  </si>
  <si>
    <t>PARCIAL</t>
  </si>
  <si>
    <t>2 (0)</t>
  </si>
  <si>
    <t>0 (0)</t>
  </si>
  <si>
    <t>Nicolas Santos</t>
  </si>
  <si>
    <t>pix = 10,00 até 27/6</t>
  </si>
  <si>
    <t>Participantes</t>
  </si>
  <si>
    <t>Fez o pix?</t>
  </si>
  <si>
    <t>Data do pix</t>
  </si>
  <si>
    <t>BOLÃO</t>
  </si>
  <si>
    <t>feito</t>
  </si>
  <si>
    <t>sim</t>
  </si>
  <si>
    <t>RANKING — BOLÃO FUTEBOL INGLÊS</t>
  </si>
  <si>
    <t>PARTICIPANTE</t>
  </si>
  <si>
    <t>PONTOS</t>
  </si>
  <si>
    <t>CRAVADAS</t>
  </si>
  <si>
    <t>ORDEM</t>
  </si>
  <si>
    <t>Pontuação automática: placar exato = 5 pontos; vencedor correto = 2 pontos; empate correto com placar diferente = 1 ponto. O ranking desempata por cravadas.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</si>
</sst>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d/m"/>
  </numFmts>
  <fonts count="9">
    <font>
      <sz val="10.0"/>
      <color rgb="FF000000"/>
      <name val="Arial"/>
      <scheme val="minor"/>
    </font>
    <font>
      <b/>
      <color rgb="FFFFFFFF"/>
      <name val="Arial"/>
    </font>
    <font>
      <color rgb="FFFFFFFF"/>
      <name val="Arial"/>
    </font>
    <font>
      <b/>
      <color theme="1"/>
      <name val="Arial"/>
    </font>
    <font>
      <color theme="1"/>
      <name val="Arial"/>
    </font>
    <font>
      <b/>
      <sz val="16.0"/>
      <color rgb="FFFFFFFF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rgb="FF1155CC"/>
        <bgColor rgb="FF1155CC"/>
      </patternFill>
    </fill>
    <fill>
      <patternFill patternType="solid">
        <fgColor rgb="FF17324D"/>
        <bgColor rgb="FF17324D"/>
      </patternFill>
    </fill>
    <fill>
      <patternFill patternType="solid">
        <fgColor rgb="FFD1D5DB"/>
        <bgColor rgb="FFD1D5DB"/>
      </patternFill>
    </fill>
    <fill>
      <patternFill patternType="solid">
        <fgColor rgb="FFFFF2CC"/>
        <bgColor rgb="FFFFF2CC"/>
      </patternFill>
    </fill>
    <fill>
      <patternFill patternType="solid">
        <fgColor rgb="FFE5E7EB"/>
        <bgColor rgb="FFE5E7EB"/>
      </patternFill>
    </fill>
    <fill>
      <patternFill patternType="solid">
        <fgColor rgb="FFFCE8D5"/>
        <bgColor rgb="FFFCE8D5"/>
      </patternFill>
    </fill>
    <fill>
      <patternFill patternType="solid">
        <fgColor rgb="FFD9EAF7"/>
        <bgColor rgb="FFD9EA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164" xfId="0" applyFont="1" applyNumberFormat="1"/>
    <xf borderId="0" fillId="2" fontId="2" numFmtId="0" xfId="0" applyFont="1"/>
    <xf borderId="1" fillId="0" fontId="3" numFmtId="0" xfId="0" applyBorder="1" applyFont="1"/>
    <xf borderId="0" fillId="0" fontId="4" numFmtId="0" xfId="0" applyFont="1"/>
    <xf borderId="1" fillId="0" fontId="4" numFmtId="0" xfId="0" applyBorder="1" applyFont="1"/>
    <xf borderId="1" fillId="3" fontId="4" numFmtId="0" xfId="0" applyBorder="1" applyFill="1" applyFont="1"/>
    <xf borderId="1" fillId="0" fontId="4" numFmtId="0" xfId="0" applyAlignment="1" applyBorder="1" applyFont="1">
      <alignment vertical="bottom"/>
    </xf>
    <xf borderId="1" fillId="4" fontId="4" numFmtId="0" xfId="0" applyBorder="1" applyFill="1" applyFont="1"/>
    <xf borderId="0" fillId="0" fontId="4" numFmtId="0" xfId="0" applyAlignment="1" applyFont="1">
      <alignment vertical="bottom"/>
    </xf>
    <xf borderId="1" fillId="5" fontId="4" numFmtId="0" xfId="0" applyBorder="1" applyFill="1" applyFont="1"/>
    <xf borderId="0" fillId="5" fontId="4" numFmtId="0" xfId="0" applyFont="1"/>
    <xf borderId="0" fillId="3" fontId="4" numFmtId="0" xfId="0" applyFont="1"/>
    <xf borderId="1" fillId="0" fontId="4" numFmtId="0" xfId="0" applyAlignment="1" applyBorder="1" applyFont="1">
      <alignment readingOrder="0"/>
    </xf>
    <xf borderId="0" fillId="0" fontId="3" numFmtId="0" xfId="0" applyFont="1"/>
    <xf borderId="0" fillId="0" fontId="3" numFmtId="164" xfId="0" applyFont="1" applyNumberFormat="1"/>
    <xf borderId="0" fillId="0" fontId="4" numFmtId="164" xfId="0" applyFont="1" applyNumberFormat="1"/>
    <xf borderId="1" fillId="6" fontId="2" numFmtId="0" xfId="0" applyBorder="1" applyFill="1" applyFont="1"/>
    <xf borderId="1" fillId="0" fontId="4" numFmtId="165" xfId="0" applyBorder="1" applyFont="1" applyNumberFormat="1"/>
    <xf borderId="0" fillId="7" fontId="5" numFmtId="0" xfId="0" applyAlignment="1" applyFill="1" applyFont="1">
      <alignment horizontal="center" shrinkToFit="0" vertical="center" wrapText="0"/>
    </xf>
    <xf borderId="0" fillId="7" fontId="6" numFmtId="0" xfId="0" applyAlignment="1" applyFont="1">
      <alignment horizontal="center" shrinkToFit="0" vertical="bottom" wrapText="0"/>
    </xf>
    <xf borderId="0" fillId="8" fontId="7" numFmtId="0" xfId="0" applyAlignment="1" applyFill="1" applyFont="1">
      <alignment horizontal="center" shrinkToFit="0" vertical="bottom" wrapText="0"/>
    </xf>
    <xf borderId="0" fillId="9" fontId="7" numFmtId="0" xfId="0" applyAlignment="1" applyFill="1" applyFont="1">
      <alignment horizontal="center" shrinkToFit="0" vertical="center" wrapText="0"/>
    </xf>
    <xf borderId="0" fillId="9" fontId="7" numFmtId="0" xfId="0" applyAlignment="1" applyFont="1">
      <alignment shrinkToFit="0" vertical="center" wrapText="0"/>
    </xf>
    <xf borderId="0" fillId="10" fontId="7" numFmtId="0" xfId="0" applyAlignment="1" applyFill="1" applyFont="1">
      <alignment horizontal="center" shrinkToFit="0" vertical="center" wrapText="0"/>
    </xf>
    <xf borderId="0" fillId="10" fontId="7" numFmtId="0" xfId="0" applyAlignment="1" applyFont="1">
      <alignment shrinkToFit="0" vertical="center" wrapText="0"/>
    </xf>
    <xf borderId="0" fillId="11" fontId="7" numFmtId="0" xfId="0" applyAlignment="1" applyFill="1" applyFont="1">
      <alignment horizontal="center" shrinkToFit="0" vertical="center" wrapText="0"/>
    </xf>
    <xf borderId="0" fillId="11" fontId="7" numFmtId="0" xfId="0" applyAlignment="1" applyFont="1">
      <alignment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  <xf borderId="0" fillId="12" fontId="8" numFmtId="0" xfId="0" applyAlignment="1" applyFill="1" applyFont="1">
      <alignment shrinkToFit="0" vertical="center" wrapText="1"/>
    </xf>
  </cellXfs>
  <cellStyles count="1">
    <cellStyle xfId="0" name="Normal" builtinId="0"/>
  </cellStyles>
  <dxfs count="3">
    <dxf>
      <font>
        <color rgb="FFFFFFFF"/>
      </font>
      <fill>
        <patternFill patternType="solid">
          <fgColor rgb="FF4A86E8"/>
          <bgColor rgb="FF4A86E8"/>
        </patternFill>
      </fill>
      <border/>
    </dxf>
    <dxf>
      <font>
        <color rgb="FF111827"/>
      </font>
      <fill>
        <patternFill patternType="solid">
          <fgColor rgb="FFF1C232"/>
          <bgColor rgb="FFF1C232"/>
        </patternFill>
      </fill>
      <border/>
    </dxf>
    <dxf>
      <font>
        <color rgb="FF111827"/>
      </font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1.75"/>
    <col customWidth="1" min="3" max="3" width="12.63"/>
    <col customWidth="1" min="4" max="4" width="10.75"/>
    <col customWidth="1" min="5" max="6" width="12.63"/>
    <col customWidth="1" min="8" max="8" width="17.25"/>
    <col customWidth="1" min="15" max="15" width="18.25"/>
    <col customWidth="1" min="22" max="22" width="18.13"/>
    <col customWidth="1" min="30" max="30" width="14.13"/>
  </cols>
  <sheetData>
    <row r="1" ht="15.75" customHeight="1">
      <c r="A1" s="1" t="s">
        <v>0</v>
      </c>
      <c r="B1" s="2">
        <v>0.6666666666666666</v>
      </c>
      <c r="C1" s="2">
        <v>0.9583333333333334</v>
      </c>
      <c r="D1" s="3"/>
      <c r="E1" s="3"/>
      <c r="F1" s="3"/>
      <c r="G1" s="3"/>
      <c r="H1" s="1" t="s">
        <v>1</v>
      </c>
      <c r="I1" s="2">
        <v>0.6666666666666666</v>
      </c>
      <c r="J1" s="2">
        <v>0.9166666666666666</v>
      </c>
      <c r="K1" s="3"/>
      <c r="L1" s="3"/>
      <c r="M1" s="3"/>
      <c r="N1" s="3"/>
      <c r="O1" s="1" t="s">
        <v>2</v>
      </c>
      <c r="P1" s="2">
        <v>0.6666666666666666</v>
      </c>
      <c r="Q1" s="2">
        <v>0.7916666666666666</v>
      </c>
      <c r="R1" s="2">
        <v>0.9166666666666666</v>
      </c>
      <c r="S1" s="2">
        <v>0.041666666666666664</v>
      </c>
      <c r="T1" s="3"/>
      <c r="U1" s="3"/>
      <c r="V1" s="1" t="s">
        <v>3</v>
      </c>
      <c r="W1" s="2">
        <v>0.5833333333333334</v>
      </c>
      <c r="X1" s="2">
        <v>0.7083333333333334</v>
      </c>
      <c r="Y1" s="2">
        <v>0.8333333333333334</v>
      </c>
      <c r="Z1" s="2">
        <v>0.9583333333333334</v>
      </c>
      <c r="AA1" s="3"/>
      <c r="AB1" s="3"/>
      <c r="AC1" s="1" t="s">
        <v>4</v>
      </c>
      <c r="AD1" s="2">
        <v>0.5416666666666666</v>
      </c>
      <c r="AE1" s="2">
        <v>0.6666666666666666</v>
      </c>
      <c r="AF1" s="2">
        <v>0.7916666666666666</v>
      </c>
      <c r="AG1" s="2">
        <v>0.9166666666666666</v>
      </c>
      <c r="AH1" s="3"/>
    </row>
    <row r="2" ht="15.75" customHeight="1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  <c r="H2" s="4" t="s">
        <v>10</v>
      </c>
      <c r="I2" s="4" t="s">
        <v>11</v>
      </c>
      <c r="J2" s="4" t="s">
        <v>12</v>
      </c>
      <c r="K2" s="4" t="s">
        <v>8</v>
      </c>
      <c r="L2" s="5" t="s">
        <v>9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8</v>
      </c>
      <c r="V2" s="4" t="s">
        <v>18</v>
      </c>
      <c r="W2" s="4" t="s">
        <v>19</v>
      </c>
      <c r="X2" s="4" t="s">
        <v>20</v>
      </c>
      <c r="Y2" s="4" t="s">
        <v>21</v>
      </c>
      <c r="Z2" s="4" t="s">
        <v>22</v>
      </c>
      <c r="AA2" s="4" t="s">
        <v>8</v>
      </c>
      <c r="AC2" s="4" t="s">
        <v>23</v>
      </c>
      <c r="AD2" s="4" t="s">
        <v>24</v>
      </c>
      <c r="AE2" s="4" t="s">
        <v>25</v>
      </c>
      <c r="AF2" s="4" t="s">
        <v>26</v>
      </c>
      <c r="AG2" s="4" t="s">
        <v>27</v>
      </c>
      <c r="AH2" s="4" t="s">
        <v>8</v>
      </c>
    </row>
    <row r="3" ht="15.75" customHeight="1">
      <c r="A3" s="6" t="s">
        <v>28</v>
      </c>
      <c r="B3" s="7" t="s">
        <v>29</v>
      </c>
      <c r="C3" s="6" t="s">
        <v>30</v>
      </c>
      <c r="D3" s="6" t="str">
        <f t="shared" ref="D3:D24" si="1">IF(COUNTA(B3:C3)=0,"",SUM(IF(OR(B3="",B$25=""),0,IF(B3=B$25,5,IFERROR(IF(SIGN(VALUE(LEFT(B3,FIND("x",B3)-1))-VALUE(MID(B3,FIND("x",B3)+1,99)))=SIGN(VALUE(LEFT(B$25,FIND("x",B$25)-1))-VALUE(MID(B$25,FIND("x",B$25)+1,99))),IF(VALUE(LEFT(B$25,FIND("x",B$25)-1))=VALUE(MID(B$25,FIND("x",B$25)+1,99)),1,2),0),0))),IF(OR(C3="",C$25=""),0,IF(C3=C$25,5,IFERROR(IF(SIGN(VALUE(LEFT(C3,FIND("x",C3)-1))-VALUE(MID(C3,FIND("x",C3)+1,99)))=SIGN(VALUE(LEFT(C$25,FIND("x",C$25)-1))-VALUE(MID(C$25,FIND("x",C$25)+1,99))),IF(VALUE(LEFT(C$25,FIND("x",C$25)-1))=VALUE(MID(C$25,FIND("x",C$25)+1,99)),1,2),0),0))))&amp;" ("&amp;SUM(IF(AND(B3&lt;&gt;"",B3=B$25),1,0),IF(AND(C3&lt;&gt;"",C3=C$25),1,0))&amp;")")</f>
        <v>2 (0)</v>
      </c>
      <c r="E3" s="5" t="s">
        <v>31</v>
      </c>
      <c r="H3" s="6" t="s">
        <v>28</v>
      </c>
      <c r="I3" s="6" t="s">
        <v>32</v>
      </c>
      <c r="J3" s="6" t="s">
        <v>33</v>
      </c>
      <c r="K3" s="6" t="str">
        <f t="shared" ref="K3:K24" si="2">IF(COUNTA(I3:J3)=0,"",SUM(IF(OR(I3="",I$25=""),0,IF(I3=I$25,5,IFERROR(IF(SIGN(VALUE(LEFT(I3,FIND("x",I3)-1))-VALUE(MID(I3,FIND("x",I3)+1,99)))=SIGN(VALUE(LEFT(I$25,FIND("x",I$25)-1))-VALUE(MID(I$25,FIND("x",I$25)+1,99))),IF(VALUE(LEFT(I$25,FIND("x",I$25)-1))=VALUE(MID(I$25,FIND("x",I$25)+1,99)),1,2),0),0))),IF(OR(J3="",J$25=""),0,IF(J3=J$25,5,IFERROR(IF(SIGN(VALUE(LEFT(J3,FIND("x",J3)-1))-VALUE(MID(J3,FIND("x",J3)+1,99)))=SIGN(VALUE(LEFT(J$25,FIND("x",J$25)-1))-VALUE(MID(J$25,FIND("x",J$25)+1,99))),IF(VALUE(LEFT(J$25,FIND("x",J$25)-1))=VALUE(MID(J$25,FIND("x",J$25)+1,99)),1,2),0),0))))&amp;" ("&amp;SUM(IF(AND(I3&lt;&gt;"",I3=I$25),1,0),IF(AND(J3&lt;&gt;"",J3=J$25),1,0))&amp;")")</f>
        <v>0 (0)</v>
      </c>
      <c r="L3" s="5" t="s">
        <v>34</v>
      </c>
      <c r="O3" s="6" t="s">
        <v>28</v>
      </c>
      <c r="P3" s="8" t="s">
        <v>35</v>
      </c>
      <c r="Q3" s="8" t="s">
        <v>36</v>
      </c>
      <c r="R3" s="8" t="s">
        <v>30</v>
      </c>
      <c r="S3" s="8" t="s">
        <v>37</v>
      </c>
      <c r="T3" s="6" t="str">
        <f t="shared" ref="T3:T24" si="3">IF(COUNTA(P3:S3)=0,"",SUM(IF(OR(P3="",P$25=""),0,IF(P3=P$25,5,IFERROR(IF(SIGN(VALUE(LEFT(P3,FIND("x",P3)-1))-VALUE(MID(P3,FIND("x",P3)+1,99)))=SIGN(VALUE(LEFT(P$25,FIND("x",P$25)-1))-VALUE(MID(P$25,FIND("x",P$25)+1,99))),IF(VALUE(LEFT(P$25,FIND("x",P$25)-1))=VALUE(MID(P$25,FIND("x",P$25)+1,99)),1,2),0),0))),IF(OR(Q3="",Q$25=""),0,IF(Q3=Q$25,5,IFERROR(IF(SIGN(VALUE(LEFT(Q3,FIND("x",Q3)-1))-VALUE(MID(Q3,FIND("x",Q3)+1,99)))=SIGN(VALUE(LEFT(Q$25,FIND("x",Q$25)-1))-VALUE(MID(Q$25,FIND("x",Q$25)+1,99))),IF(VALUE(LEFT(Q$25,FIND("x",Q$25)-1))=VALUE(MID(Q$25,FIND("x",Q$25)+1,99)),1,2),0),0))),IF(OR(R3="",R$25=""),0,IF(R3=R$25,5,IFERROR(IF(SIGN(VALUE(LEFT(R3,FIND("x",R3)-1))-VALUE(MID(R3,FIND("x",R3)+1,99)))=SIGN(VALUE(LEFT(R$25,FIND("x",R$25)-1))-VALUE(MID(R$25,FIND("x",R$25)+1,99))),IF(VALUE(LEFT(R$25,FIND("x",R$25)-1))=VALUE(MID(R$25,FIND("x",R$25)+1,99)),1,2),0),0))),IF(OR(S3="",S$25=""),0,IF(S3=S$25,5,IFERROR(IF(SIGN(VALUE(LEFT(S3,FIND("x",S3)-1))-VALUE(MID(S3,FIND("x",S3)+1,99)))=SIGN(VALUE(LEFT(S$25,FIND("x",S$25)-1))-VALUE(MID(S$25,FIND("x",S$25)+1,99))),IF(VALUE(LEFT(S$25,FIND("x",S$25)-1))=VALUE(MID(S$25,FIND("x",S$25)+1,99)),1,2),0),0))))&amp;" ("&amp;SUM(IF(AND(P3&lt;&gt;"",P3=P$25),1,0),IF(AND(Q3&lt;&gt;"",Q3=Q$25),1,0),IF(AND(R3&lt;&gt;"",R3=R$25),1,0),IF(AND(S3&lt;&gt;"",S3=S$25),1,0))&amp;")")</f>
        <v>2 (0)</v>
      </c>
      <c r="V3" s="6" t="s">
        <v>28</v>
      </c>
      <c r="W3" s="6"/>
      <c r="X3" s="6"/>
      <c r="Y3" s="6"/>
      <c r="Z3" s="6"/>
      <c r="AA3" s="6" t="str">
        <f t="shared" ref="AA3:AA24" si="4">IF(COUNTA(W3:Z3)=0,"",SUM(IF(OR(W3="",W$25=""),0,IF(W3=W$25,5,IFERROR(IF(SIGN(VALUE(LEFT(W3,FIND("x",W3)-1))-VALUE(MID(W3,FIND("x",W3)+1,99)))=SIGN(VALUE(LEFT(W$25,FIND("x",W$25)-1))-VALUE(MID(W$25,FIND("x",W$25)+1,99))),IF(VALUE(LEFT(W$25,FIND("x",W$25)-1))=VALUE(MID(W$25,FIND("x",W$25)+1,99)),1,2),0),0))),IF(OR(X3="",X$25=""),0,IF(X3=X$25,5,IFERROR(IF(SIGN(VALUE(LEFT(X3,FIND("x",X3)-1))-VALUE(MID(X3,FIND("x",X3)+1,99)))=SIGN(VALUE(LEFT(X$25,FIND("x",X$25)-1))-VALUE(MID(X$25,FIND("x",X$25)+1,99))),IF(VALUE(LEFT(X$25,FIND("x",X$25)-1))=VALUE(MID(X$25,FIND("x",X$25)+1,99)),1,2),0),0))),IF(OR(Y3="",Y$25=""),0,IF(Y3=Y$25,5,IFERROR(IF(SIGN(VALUE(LEFT(Y3,FIND("x",Y3)-1))-VALUE(MID(Y3,FIND("x",Y3)+1,99)))=SIGN(VALUE(LEFT(Y$25,FIND("x",Y$25)-1))-VALUE(MID(Y$25,FIND("x",Y$25)+1,99))),IF(VALUE(LEFT(Y$25,FIND("x",Y$25)-1))=VALUE(MID(Y$25,FIND("x",Y$25)+1,99)),1,2),0),0))),IF(OR(Z3="",Z$25=""),0,IF(Z3=Z$25,5,IFERROR(IF(SIGN(VALUE(LEFT(Z3,FIND("x",Z3)-1))-VALUE(MID(Z3,FIND("x",Z3)+1,99)))=SIGN(VALUE(LEFT(Z$25,FIND("x",Z$25)-1))-VALUE(MID(Z$25,FIND("x",Z$25)+1,99))),IF(VALUE(LEFT(Z$25,FIND("x",Z$25)-1))=VALUE(MID(Z$25,FIND("x",Z$25)+1,99)),1,2),0),0))))&amp;" ("&amp;SUM(IF(AND(W3&lt;&gt;"",W3=W$25),1,0),IF(AND(X3&lt;&gt;"",X3=X$25),1,0),IF(AND(Y3&lt;&gt;"",Y3=Y$25),1,0),IF(AND(Z3&lt;&gt;"",Z3=Z$25),1,0))&amp;")")</f>
        <v/>
      </c>
      <c r="AC3" s="6" t="s">
        <v>38</v>
      </c>
      <c r="AD3" s="6"/>
      <c r="AE3" s="6"/>
      <c r="AF3" s="6"/>
      <c r="AG3" s="6"/>
      <c r="AH3" s="6" t="str">
        <f t="shared" ref="AH3:AH13" si="5">IF(COUNTA(AD3:AG3)=0,"",SUM(IF(OR(AD3="",AD$14=""),0,IF(AD3=AD$14,5,IFERROR(IF(SIGN(VALUE(LEFT(AD3,FIND("x",AD3)-1))-VALUE(MID(AD3,FIND("x",AD3)+1,99)))=SIGN(VALUE(LEFT(AD$14,FIND("x",AD$14)-1))-VALUE(MID(AD$14,FIND("x",AD$14)+1,99))),IF(VALUE(LEFT(AD$14,FIND("x",AD$14)-1))=VALUE(MID(AD$14,FIND("x",AD$14)+1,99)),1,2),0),0))),IF(OR(AE3="",AE$14=""),0,IF(AE3=AE$14,5,IFERROR(IF(SIGN(VALUE(LEFT(AE3,FIND("x",AE3)-1))-VALUE(MID(AE3,FIND("x",AE3)+1,99)))=SIGN(VALUE(LEFT(AE$14,FIND("x",AE$14)-1))-VALUE(MID(AE$14,FIND("x",AE$14)+1,99))),IF(VALUE(LEFT(AE$14,FIND("x",AE$14)-1))=VALUE(MID(AE$14,FIND("x",AE$14)+1,99)),1,2),0),0))),IF(OR(AF3="",AF$14=""),0,IF(AF3=AF$14,5,IFERROR(IF(SIGN(VALUE(LEFT(AF3,FIND("x",AF3)-1))-VALUE(MID(AF3,FIND("x",AF3)+1,99)))=SIGN(VALUE(LEFT(AF$14,FIND("x",AF$14)-1))-VALUE(MID(AF$14,FIND("x",AF$14)+1,99))),IF(VALUE(LEFT(AF$14,FIND("x",AF$14)-1))=VALUE(MID(AF$14,FIND("x",AF$14)+1,99)),1,2),0),0))),IF(OR(AG3="",AG$14=""),0,IF(AG3=AG$14,5,IFERROR(IF(SIGN(VALUE(LEFT(AG3,FIND("x",AG3)-1))-VALUE(MID(AG3,FIND("x",AG3)+1,99)))=SIGN(VALUE(LEFT(AG$14,FIND("x",AG$14)-1))-VALUE(MID(AG$14,FIND("x",AG$14)+1,99))),IF(VALUE(LEFT(AG$14,FIND("x",AG$14)-1))=VALUE(MID(AG$14,FIND("x",AG$14)+1,99)),1,2),0),0))))&amp;" ("&amp;SUM(IF(AND(AD3&lt;&gt;"",AD3=AD$14),1,0),IF(AND(AE3&lt;&gt;"",AE3=AE$14),1,0),IF(AND(AF3&lt;&gt;"",AF3=AF$14),1,0),IF(AND(AG3&lt;&gt;"",AG3=AG$14),1,0))&amp;")")</f>
        <v/>
      </c>
    </row>
    <row r="4" ht="15.75" customHeight="1">
      <c r="A4" s="6" t="s">
        <v>39</v>
      </c>
      <c r="B4" s="7" t="s">
        <v>32</v>
      </c>
      <c r="C4" s="6" t="s">
        <v>40</v>
      </c>
      <c r="D4" s="6" t="str">
        <f t="shared" si="1"/>
        <v>4 (0)</v>
      </c>
      <c r="E4" s="5" t="s">
        <v>41</v>
      </c>
      <c r="H4" s="6" t="s">
        <v>39</v>
      </c>
      <c r="I4" s="6" t="s">
        <v>40</v>
      </c>
      <c r="J4" s="6" t="s">
        <v>30</v>
      </c>
      <c r="K4" s="6" t="str">
        <f t="shared" si="2"/>
        <v>0 (0)</v>
      </c>
      <c r="L4" s="5" t="s">
        <v>42</v>
      </c>
      <c r="O4" s="6" t="s">
        <v>39</v>
      </c>
      <c r="P4" s="6" t="s">
        <v>37</v>
      </c>
      <c r="Q4" s="6" t="s">
        <v>43</v>
      </c>
      <c r="R4" s="6" t="s">
        <v>44</v>
      </c>
      <c r="S4" s="6" t="s">
        <v>32</v>
      </c>
      <c r="T4" s="6" t="str">
        <f t="shared" si="3"/>
        <v>4 (0)</v>
      </c>
      <c r="V4" s="6" t="s">
        <v>39</v>
      </c>
      <c r="W4" s="6"/>
      <c r="X4" s="6"/>
      <c r="Y4" s="6"/>
      <c r="Z4" s="6"/>
      <c r="AA4" s="6" t="str">
        <f t="shared" si="4"/>
        <v/>
      </c>
      <c r="AC4" s="6" t="s">
        <v>45</v>
      </c>
      <c r="AD4" s="6"/>
      <c r="AE4" s="6"/>
      <c r="AF4" s="6"/>
      <c r="AG4" s="6"/>
      <c r="AH4" s="6" t="str">
        <f t="shared" si="5"/>
        <v/>
      </c>
    </row>
    <row r="5" ht="15.75" customHeight="1">
      <c r="A5" s="6" t="s">
        <v>45</v>
      </c>
      <c r="B5" s="6" t="s">
        <v>33</v>
      </c>
      <c r="C5" s="9" t="s">
        <v>32</v>
      </c>
      <c r="D5" s="6" t="str">
        <f t="shared" si="1"/>
        <v>5 (1)</v>
      </c>
      <c r="H5" s="6" t="s">
        <v>45</v>
      </c>
      <c r="I5" s="6" t="s">
        <v>46</v>
      </c>
      <c r="J5" s="6" t="s">
        <v>30</v>
      </c>
      <c r="K5" s="6" t="str">
        <f t="shared" si="2"/>
        <v>0 (0)</v>
      </c>
      <c r="O5" s="6" t="s">
        <v>45</v>
      </c>
      <c r="P5" s="6" t="s">
        <v>46</v>
      </c>
      <c r="Q5" s="6" t="s">
        <v>32</v>
      </c>
      <c r="R5" s="6" t="s">
        <v>47</v>
      </c>
      <c r="S5" s="6" t="s">
        <v>30</v>
      </c>
      <c r="T5" s="6" t="str">
        <f t="shared" si="3"/>
        <v>2 (0)</v>
      </c>
      <c r="V5" s="6" t="s">
        <v>45</v>
      </c>
      <c r="W5" s="6"/>
      <c r="X5" s="6"/>
      <c r="Y5" s="6"/>
      <c r="Z5" s="6"/>
      <c r="AA5" s="6" t="str">
        <f t="shared" si="4"/>
        <v/>
      </c>
      <c r="AC5" s="6" t="s">
        <v>48</v>
      </c>
      <c r="AD5" s="6"/>
      <c r="AE5" s="6"/>
      <c r="AF5" s="6"/>
      <c r="AG5" s="6"/>
      <c r="AH5" s="6" t="str">
        <f t="shared" si="5"/>
        <v/>
      </c>
    </row>
    <row r="6" ht="15.75" customHeight="1">
      <c r="A6" s="6" t="s">
        <v>49</v>
      </c>
      <c r="B6" s="7" t="s">
        <v>32</v>
      </c>
      <c r="C6" s="6" t="s">
        <v>50</v>
      </c>
      <c r="D6" s="6" t="str">
        <f t="shared" si="1"/>
        <v>2 (0)</v>
      </c>
      <c r="H6" s="6" t="s">
        <v>49</v>
      </c>
      <c r="I6" s="6" t="s">
        <v>30</v>
      </c>
      <c r="J6" s="6" t="s">
        <v>47</v>
      </c>
      <c r="K6" s="6" t="str">
        <f t="shared" si="2"/>
        <v>0 (0)</v>
      </c>
      <c r="M6" s="10" t="s">
        <v>9</v>
      </c>
      <c r="O6" s="6" t="s">
        <v>49</v>
      </c>
      <c r="P6" s="8" t="s">
        <v>37</v>
      </c>
      <c r="Q6" s="8" t="s">
        <v>32</v>
      </c>
      <c r="R6" s="8" t="s">
        <v>37</v>
      </c>
      <c r="S6" s="8" t="s">
        <v>46</v>
      </c>
      <c r="T6" s="6" t="str">
        <f t="shared" si="3"/>
        <v>2 (0)</v>
      </c>
      <c r="V6" s="6" t="s">
        <v>49</v>
      </c>
      <c r="W6" s="6"/>
      <c r="X6" s="6"/>
      <c r="Y6" s="6"/>
      <c r="Z6" s="6"/>
      <c r="AA6" s="6" t="str">
        <f t="shared" si="4"/>
        <v/>
      </c>
      <c r="AC6" s="6" t="s">
        <v>51</v>
      </c>
      <c r="AD6" s="6"/>
      <c r="AE6" s="6"/>
      <c r="AF6" s="6"/>
      <c r="AG6" s="6"/>
      <c r="AH6" s="6" t="str">
        <f t="shared" si="5"/>
        <v/>
      </c>
    </row>
    <row r="7" ht="15.75" customHeight="1">
      <c r="A7" s="6" t="s">
        <v>48</v>
      </c>
      <c r="B7" s="7" t="s">
        <v>32</v>
      </c>
      <c r="C7" s="11" t="s">
        <v>32</v>
      </c>
      <c r="D7" s="6" t="str">
        <f t="shared" si="1"/>
        <v>7 (1)</v>
      </c>
      <c r="H7" s="6" t="s">
        <v>48</v>
      </c>
      <c r="I7" s="6" t="s">
        <v>52</v>
      </c>
      <c r="J7" s="7" t="s">
        <v>32</v>
      </c>
      <c r="K7" s="6" t="str">
        <f t="shared" si="2"/>
        <v>2 (0)</v>
      </c>
      <c r="M7" s="10" t="s">
        <v>53</v>
      </c>
      <c r="N7" s="10"/>
      <c r="O7" s="6" t="s">
        <v>48</v>
      </c>
      <c r="P7" s="6" t="s">
        <v>33</v>
      </c>
      <c r="Q7" s="6" t="s">
        <v>52</v>
      </c>
      <c r="R7" s="6" t="s">
        <v>30</v>
      </c>
      <c r="S7" s="6" t="s">
        <v>30</v>
      </c>
      <c r="T7" s="6" t="str">
        <f t="shared" si="3"/>
        <v>7 (1)</v>
      </c>
      <c r="V7" s="6" t="s">
        <v>48</v>
      </c>
      <c r="W7" s="6"/>
      <c r="X7" s="6"/>
      <c r="Y7" s="6"/>
      <c r="Z7" s="6"/>
      <c r="AA7" s="6" t="str">
        <f t="shared" si="4"/>
        <v/>
      </c>
      <c r="AC7" s="6" t="s">
        <v>54</v>
      </c>
      <c r="AD7" s="6"/>
      <c r="AE7" s="6"/>
      <c r="AF7" s="6"/>
      <c r="AG7" s="6"/>
      <c r="AH7" s="6" t="str">
        <f t="shared" si="5"/>
        <v/>
      </c>
    </row>
    <row r="8" ht="15.75" customHeight="1">
      <c r="A8" s="6" t="s">
        <v>55</v>
      </c>
      <c r="B8" s="7" t="s">
        <v>36</v>
      </c>
      <c r="C8" s="11" t="s">
        <v>32</v>
      </c>
      <c r="D8" s="6" t="str">
        <f t="shared" si="1"/>
        <v>7 (1)</v>
      </c>
      <c r="H8" s="6" t="s">
        <v>55</v>
      </c>
      <c r="I8" s="6" t="s">
        <v>52</v>
      </c>
      <c r="J8" s="6" t="s">
        <v>30</v>
      </c>
      <c r="K8" s="6" t="str">
        <f t="shared" si="2"/>
        <v>0 (0)</v>
      </c>
      <c r="M8" s="10" t="s">
        <v>56</v>
      </c>
      <c r="N8" s="10"/>
      <c r="O8" s="6" t="s">
        <v>55</v>
      </c>
      <c r="P8" s="8" t="s">
        <v>44</v>
      </c>
      <c r="Q8" s="8" t="s">
        <v>36</v>
      </c>
      <c r="R8" s="8" t="s">
        <v>47</v>
      </c>
      <c r="S8" s="8" t="s">
        <v>36</v>
      </c>
      <c r="T8" s="6" t="str">
        <f t="shared" si="3"/>
        <v>4 (0)</v>
      </c>
      <c r="V8" s="6" t="s">
        <v>55</v>
      </c>
      <c r="W8" s="6"/>
      <c r="X8" s="6"/>
      <c r="Y8" s="6"/>
      <c r="Z8" s="6"/>
      <c r="AA8" s="6" t="str">
        <f t="shared" si="4"/>
        <v/>
      </c>
      <c r="AC8" s="6" t="s">
        <v>57</v>
      </c>
      <c r="AD8" s="6"/>
      <c r="AE8" s="6"/>
      <c r="AF8" s="6"/>
      <c r="AG8" s="6"/>
      <c r="AH8" s="6" t="str">
        <f t="shared" si="5"/>
        <v/>
      </c>
    </row>
    <row r="9" ht="15.75" customHeight="1">
      <c r="A9" s="6" t="s">
        <v>51</v>
      </c>
      <c r="B9" s="7" t="s">
        <v>32</v>
      </c>
      <c r="C9" s="6" t="s">
        <v>33</v>
      </c>
      <c r="D9" s="6" t="str">
        <f t="shared" si="1"/>
        <v>2 (0)</v>
      </c>
      <c r="H9" s="6" t="s">
        <v>51</v>
      </c>
      <c r="I9" s="11" t="s">
        <v>33</v>
      </c>
      <c r="J9" s="6" t="s">
        <v>40</v>
      </c>
      <c r="K9" s="6" t="str">
        <f t="shared" si="2"/>
        <v>7 (1)</v>
      </c>
      <c r="M9" s="10" t="s">
        <v>58</v>
      </c>
      <c r="O9" s="6" t="s">
        <v>51</v>
      </c>
      <c r="P9" s="6" t="s">
        <v>47</v>
      </c>
      <c r="Q9" s="6" t="s">
        <v>33</v>
      </c>
      <c r="R9" s="6" t="s">
        <v>44</v>
      </c>
      <c r="S9" s="6" t="s">
        <v>47</v>
      </c>
      <c r="T9" s="6" t="str">
        <f t="shared" si="3"/>
        <v>7 (1)</v>
      </c>
      <c r="V9" s="6" t="s">
        <v>51</v>
      </c>
      <c r="W9" s="6"/>
      <c r="X9" s="6"/>
      <c r="Y9" s="6"/>
      <c r="Z9" s="6"/>
      <c r="AA9" s="6" t="str">
        <f t="shared" si="4"/>
        <v/>
      </c>
      <c r="AC9" s="6" t="s">
        <v>59</v>
      </c>
      <c r="AD9" s="6"/>
      <c r="AE9" s="6"/>
      <c r="AF9" s="6"/>
      <c r="AG9" s="6"/>
      <c r="AH9" s="6" t="str">
        <f t="shared" si="5"/>
        <v/>
      </c>
    </row>
    <row r="10" ht="15.75" customHeight="1">
      <c r="A10" s="6" t="s">
        <v>60</v>
      </c>
      <c r="B10" s="6" t="s">
        <v>33</v>
      </c>
      <c r="C10" s="6" t="s">
        <v>46</v>
      </c>
      <c r="D10" s="6" t="str">
        <f t="shared" si="1"/>
        <v>0 (0)</v>
      </c>
      <c r="H10" s="6" t="s">
        <v>60</v>
      </c>
      <c r="I10" s="11" t="s">
        <v>33</v>
      </c>
      <c r="J10" s="6" t="s">
        <v>30</v>
      </c>
      <c r="K10" s="6" t="str">
        <f t="shared" si="2"/>
        <v>5 (1)</v>
      </c>
      <c r="M10" s="10" t="s">
        <v>61</v>
      </c>
      <c r="O10" s="6" t="s">
        <v>60</v>
      </c>
      <c r="P10" s="6" t="s">
        <v>37</v>
      </c>
      <c r="Q10" s="6" t="s">
        <v>33</v>
      </c>
      <c r="R10" s="6" t="s">
        <v>35</v>
      </c>
      <c r="S10" s="6" t="s">
        <v>44</v>
      </c>
      <c r="T10" s="6" t="str">
        <f t="shared" si="3"/>
        <v>7 (1)</v>
      </c>
      <c r="V10" s="6" t="s">
        <v>60</v>
      </c>
      <c r="W10" s="6"/>
      <c r="X10" s="6"/>
      <c r="Y10" s="6"/>
      <c r="Z10" s="6"/>
      <c r="AA10" s="6" t="str">
        <f t="shared" si="4"/>
        <v/>
      </c>
      <c r="AC10" s="6" t="s">
        <v>62</v>
      </c>
      <c r="AD10" s="6"/>
      <c r="AE10" s="6"/>
      <c r="AF10" s="6"/>
      <c r="AG10" s="6"/>
      <c r="AH10" s="6" t="str">
        <f t="shared" si="5"/>
        <v/>
      </c>
    </row>
    <row r="11" ht="15.75" customHeight="1">
      <c r="A11" s="6" t="s">
        <v>63</v>
      </c>
      <c r="B11" s="7" t="s">
        <v>36</v>
      </c>
      <c r="C11" s="7" t="s">
        <v>52</v>
      </c>
      <c r="D11" s="6" t="str">
        <f t="shared" si="1"/>
        <v>4 (0)</v>
      </c>
      <c r="E11" s="12" t="s">
        <v>64</v>
      </c>
      <c r="H11" s="6" t="s">
        <v>63</v>
      </c>
      <c r="I11" s="6" t="s">
        <v>32</v>
      </c>
      <c r="J11" s="6" t="s">
        <v>33</v>
      </c>
      <c r="K11" s="6" t="str">
        <f t="shared" si="2"/>
        <v>0 (0)</v>
      </c>
      <c r="O11" s="6" t="s">
        <v>63</v>
      </c>
      <c r="P11" s="6" t="s">
        <v>37</v>
      </c>
      <c r="Q11" s="6" t="s">
        <v>43</v>
      </c>
      <c r="R11" s="6" t="s">
        <v>44</v>
      </c>
      <c r="S11" s="6" t="s">
        <v>32</v>
      </c>
      <c r="T11" s="6" t="str">
        <f t="shared" si="3"/>
        <v>4 (0)</v>
      </c>
      <c r="V11" s="6" t="s">
        <v>63</v>
      </c>
      <c r="W11" s="6"/>
      <c r="X11" s="6"/>
      <c r="Y11" s="6"/>
      <c r="Z11" s="6"/>
      <c r="AA11" s="6" t="str">
        <f t="shared" si="4"/>
        <v/>
      </c>
      <c r="AC11" s="6" t="s">
        <v>65</v>
      </c>
      <c r="AD11" s="6"/>
      <c r="AE11" s="6"/>
      <c r="AF11" s="6"/>
      <c r="AG11" s="6"/>
      <c r="AH11" s="6" t="str">
        <f t="shared" si="5"/>
        <v/>
      </c>
    </row>
    <row r="12" ht="15.75" customHeight="1">
      <c r="A12" s="6" t="s">
        <v>66</v>
      </c>
      <c r="B12" s="6" t="s">
        <v>46</v>
      </c>
      <c r="C12" s="11" t="s">
        <v>32</v>
      </c>
      <c r="D12" s="6" t="str">
        <f t="shared" si="1"/>
        <v>5 (1)</v>
      </c>
      <c r="E12" s="13" t="s">
        <v>67</v>
      </c>
      <c r="F12" s="13"/>
      <c r="H12" s="6" t="s">
        <v>66</v>
      </c>
      <c r="I12" s="6" t="s">
        <v>30</v>
      </c>
      <c r="J12" s="6" t="s">
        <v>33</v>
      </c>
      <c r="K12" s="6" t="str">
        <f t="shared" si="2"/>
        <v>0 (0)</v>
      </c>
      <c r="O12" s="6" t="s">
        <v>66</v>
      </c>
      <c r="P12" s="6" t="s">
        <v>44</v>
      </c>
      <c r="Q12" s="6" t="s">
        <v>32</v>
      </c>
      <c r="R12" s="6" t="s">
        <v>44</v>
      </c>
      <c r="S12" s="6" t="s">
        <v>33</v>
      </c>
      <c r="T12" s="6" t="str">
        <f t="shared" si="3"/>
        <v>2 (0)</v>
      </c>
      <c r="V12" s="6" t="s">
        <v>66</v>
      </c>
      <c r="W12" s="6"/>
      <c r="X12" s="6"/>
      <c r="Y12" s="6"/>
      <c r="Z12" s="6"/>
      <c r="AA12" s="6" t="str">
        <f t="shared" si="4"/>
        <v/>
      </c>
      <c r="AC12" s="6" t="s">
        <v>68</v>
      </c>
      <c r="AD12" s="6"/>
      <c r="AE12" s="6"/>
      <c r="AF12" s="6"/>
      <c r="AG12" s="6"/>
      <c r="AH12" s="6" t="str">
        <f t="shared" si="5"/>
        <v/>
      </c>
    </row>
    <row r="13" ht="15.75" customHeight="1">
      <c r="A13" s="6" t="s">
        <v>69</v>
      </c>
      <c r="B13" s="11" t="s">
        <v>52</v>
      </c>
      <c r="C13" s="6" t="s">
        <v>33</v>
      </c>
      <c r="D13" s="6" t="str">
        <f t="shared" si="1"/>
        <v>5 (1)</v>
      </c>
      <c r="H13" s="6" t="s">
        <v>69</v>
      </c>
      <c r="I13" s="6" t="s">
        <v>40</v>
      </c>
      <c r="J13" s="6" t="s">
        <v>40</v>
      </c>
      <c r="K13" s="6" t="str">
        <f t="shared" si="2"/>
        <v>2 (0)</v>
      </c>
      <c r="O13" s="6" t="s">
        <v>69</v>
      </c>
      <c r="P13" s="6" t="s">
        <v>46</v>
      </c>
      <c r="Q13" s="6" t="s">
        <v>32</v>
      </c>
      <c r="R13" s="6" t="s">
        <v>50</v>
      </c>
      <c r="S13" s="6" t="s">
        <v>30</v>
      </c>
      <c r="T13" s="6" t="str">
        <f t="shared" si="3"/>
        <v>0 (0)</v>
      </c>
      <c r="V13" s="6" t="s">
        <v>69</v>
      </c>
      <c r="W13" s="6"/>
      <c r="X13" s="6"/>
      <c r="Y13" s="6"/>
      <c r="Z13" s="6"/>
      <c r="AA13" s="6" t="str">
        <f t="shared" si="4"/>
        <v/>
      </c>
      <c r="AC13" s="6" t="s">
        <v>70</v>
      </c>
      <c r="AD13" s="6"/>
      <c r="AE13" s="6"/>
      <c r="AF13" s="6"/>
      <c r="AG13" s="6"/>
      <c r="AH13" s="6" t="str">
        <f t="shared" si="5"/>
        <v/>
      </c>
    </row>
    <row r="14" ht="15.75" customHeight="1">
      <c r="A14" s="6" t="s">
        <v>71</v>
      </c>
      <c r="B14" s="11" t="s">
        <v>52</v>
      </c>
      <c r="C14" s="11" t="s">
        <v>32</v>
      </c>
      <c r="D14" s="6" t="str">
        <f t="shared" si="1"/>
        <v>10 (2)</v>
      </c>
      <c r="H14" s="6" t="s">
        <v>71</v>
      </c>
      <c r="I14" s="6" t="s">
        <v>32</v>
      </c>
      <c r="J14" s="7" t="s">
        <v>32</v>
      </c>
      <c r="K14" s="6" t="str">
        <f t="shared" si="2"/>
        <v>2 (0)</v>
      </c>
      <c r="O14" s="6" t="s">
        <v>71</v>
      </c>
      <c r="P14" s="6" t="s">
        <v>47</v>
      </c>
      <c r="Q14" s="6" t="s">
        <v>32</v>
      </c>
      <c r="R14" s="6" t="s">
        <v>30</v>
      </c>
      <c r="S14" s="14" t="s">
        <v>46</v>
      </c>
      <c r="T14" s="6" t="str">
        <f t="shared" si="3"/>
        <v>2 (0)</v>
      </c>
      <c r="V14" s="6" t="s">
        <v>71</v>
      </c>
      <c r="W14" s="6"/>
      <c r="X14" s="6"/>
      <c r="Y14" s="6"/>
      <c r="Z14" s="6"/>
      <c r="AA14" s="6" t="str">
        <f t="shared" si="4"/>
        <v/>
      </c>
      <c r="AC14" s="15" t="s">
        <v>72</v>
      </c>
    </row>
    <row r="15" ht="15.75" customHeight="1">
      <c r="A15" s="6" t="s">
        <v>73</v>
      </c>
      <c r="B15" s="11" t="s">
        <v>52</v>
      </c>
      <c r="C15" s="6" t="s">
        <v>33</v>
      </c>
      <c r="D15" s="6" t="str">
        <f t="shared" si="1"/>
        <v>5 (1)</v>
      </c>
      <c r="H15" s="6" t="s">
        <v>73</v>
      </c>
      <c r="I15" s="6" t="s">
        <v>40</v>
      </c>
      <c r="J15" s="6" t="s">
        <v>40</v>
      </c>
      <c r="K15" s="6" t="str">
        <f t="shared" si="2"/>
        <v>2 (0)</v>
      </c>
      <c r="O15" s="6" t="s">
        <v>73</v>
      </c>
      <c r="P15" s="8" t="s">
        <v>46</v>
      </c>
      <c r="Q15" s="8" t="s">
        <v>33</v>
      </c>
      <c r="R15" s="8" t="s">
        <v>46</v>
      </c>
      <c r="S15" s="8" t="s">
        <v>46</v>
      </c>
      <c r="T15" s="6" t="str">
        <f t="shared" si="3"/>
        <v>10 (2)</v>
      </c>
      <c r="V15" s="6" t="s">
        <v>73</v>
      </c>
      <c r="W15" s="6"/>
      <c r="X15" s="6"/>
      <c r="Y15" s="6"/>
      <c r="Z15" s="6"/>
      <c r="AA15" s="6" t="str">
        <f t="shared" si="4"/>
        <v/>
      </c>
      <c r="AC15" s="5" t="s">
        <v>9</v>
      </c>
    </row>
    <row r="16" ht="15.75" customHeight="1">
      <c r="A16" s="6" t="s">
        <v>74</v>
      </c>
      <c r="B16" s="6" t="s">
        <v>75</v>
      </c>
      <c r="C16" s="7" t="s">
        <v>40</v>
      </c>
      <c r="D16" s="6" t="str">
        <f t="shared" si="1"/>
        <v>2 (0)</v>
      </c>
      <c r="H16" s="6" t="s">
        <v>74</v>
      </c>
      <c r="I16" s="6" t="s">
        <v>40</v>
      </c>
      <c r="J16" s="6" t="s">
        <v>30</v>
      </c>
      <c r="K16" s="6" t="str">
        <f t="shared" si="2"/>
        <v>0 (0)</v>
      </c>
      <c r="O16" s="6" t="s">
        <v>74</v>
      </c>
      <c r="P16" s="6" t="s">
        <v>46</v>
      </c>
      <c r="Q16" s="6" t="s">
        <v>29</v>
      </c>
      <c r="R16" s="6" t="s">
        <v>30</v>
      </c>
      <c r="S16" s="6" t="s">
        <v>40</v>
      </c>
      <c r="T16" s="6" t="str">
        <f t="shared" si="3"/>
        <v>4 (0)</v>
      </c>
      <c r="V16" s="6" t="s">
        <v>74</v>
      </c>
      <c r="W16" s="6"/>
      <c r="X16" s="6"/>
      <c r="Y16" s="6"/>
      <c r="Z16" s="6"/>
      <c r="AA16" s="6" t="str">
        <f t="shared" si="4"/>
        <v/>
      </c>
      <c r="AC16" s="5" t="s">
        <v>76</v>
      </c>
      <c r="AE16" s="5" t="s">
        <v>77</v>
      </c>
    </row>
    <row r="17" ht="15.75" customHeight="1">
      <c r="A17" s="6" t="s">
        <v>78</v>
      </c>
      <c r="B17" s="7" t="s">
        <v>32</v>
      </c>
      <c r="C17" s="7" t="s">
        <v>40</v>
      </c>
      <c r="D17" s="6" t="str">
        <f t="shared" si="1"/>
        <v>4 (0)</v>
      </c>
      <c r="H17" s="6" t="s">
        <v>78</v>
      </c>
      <c r="I17" s="6" t="s">
        <v>40</v>
      </c>
      <c r="J17" s="6" t="s">
        <v>30</v>
      </c>
      <c r="K17" s="6" t="str">
        <f t="shared" si="2"/>
        <v>0 (0)</v>
      </c>
      <c r="O17" s="6" t="s">
        <v>78</v>
      </c>
      <c r="P17" s="6" t="s">
        <v>30</v>
      </c>
      <c r="Q17" s="6" t="s">
        <v>43</v>
      </c>
      <c r="R17" s="6" t="s">
        <v>30</v>
      </c>
      <c r="S17" s="6" t="s">
        <v>32</v>
      </c>
      <c r="T17" s="6" t="str">
        <f t="shared" si="3"/>
        <v>4 (0)</v>
      </c>
      <c r="V17" s="6" t="s">
        <v>78</v>
      </c>
      <c r="W17" s="6"/>
      <c r="X17" s="6"/>
      <c r="Y17" s="6"/>
      <c r="Z17" s="6"/>
      <c r="AA17" s="6" t="str">
        <f t="shared" si="4"/>
        <v/>
      </c>
      <c r="AC17" s="5" t="s">
        <v>79</v>
      </c>
      <c r="AE17" s="5" t="s">
        <v>80</v>
      </c>
    </row>
    <row r="18" ht="15.75" customHeight="1">
      <c r="A18" s="6" t="s">
        <v>81</v>
      </c>
      <c r="B18" s="6" t="s">
        <v>30</v>
      </c>
      <c r="C18" s="6" t="s">
        <v>82</v>
      </c>
      <c r="D18" s="6" t="str">
        <f t="shared" si="1"/>
        <v>0 (0)</v>
      </c>
      <c r="H18" s="6" t="s">
        <v>81</v>
      </c>
      <c r="I18" s="6" t="s">
        <v>52</v>
      </c>
      <c r="J18" s="7" t="s">
        <v>32</v>
      </c>
      <c r="K18" s="6" t="str">
        <f t="shared" si="2"/>
        <v>2 (0)</v>
      </c>
      <c r="O18" s="6" t="s">
        <v>81</v>
      </c>
      <c r="P18" s="6" t="s">
        <v>30</v>
      </c>
      <c r="Q18" s="6" t="s">
        <v>43</v>
      </c>
      <c r="R18" s="6" t="s">
        <v>30</v>
      </c>
      <c r="S18" s="6" t="s">
        <v>32</v>
      </c>
      <c r="T18" s="6" t="str">
        <f t="shared" si="3"/>
        <v>4 (0)</v>
      </c>
      <c r="V18" s="6" t="s">
        <v>81</v>
      </c>
      <c r="W18" s="6"/>
      <c r="X18" s="6"/>
      <c r="Y18" s="6"/>
      <c r="Z18" s="6"/>
      <c r="AA18" s="6" t="str">
        <f t="shared" si="4"/>
        <v/>
      </c>
    </row>
    <row r="19" ht="15.75" customHeight="1">
      <c r="A19" s="6" t="s">
        <v>62</v>
      </c>
      <c r="B19" s="7" t="s">
        <v>32</v>
      </c>
      <c r="C19" s="6" t="s">
        <v>33</v>
      </c>
      <c r="D19" s="6" t="str">
        <f t="shared" si="1"/>
        <v>2 (0)</v>
      </c>
      <c r="H19" s="6" t="s">
        <v>62</v>
      </c>
      <c r="I19" s="6" t="s">
        <v>40</v>
      </c>
      <c r="J19" s="6" t="s">
        <v>30</v>
      </c>
      <c r="K19" s="6" t="str">
        <f t="shared" si="2"/>
        <v>0 (0)</v>
      </c>
      <c r="O19" s="6" t="s">
        <v>62</v>
      </c>
      <c r="P19" s="6" t="s">
        <v>47</v>
      </c>
      <c r="Q19" s="6" t="s">
        <v>32</v>
      </c>
      <c r="R19" s="6" t="s">
        <v>30</v>
      </c>
      <c r="S19" s="6" t="s">
        <v>47</v>
      </c>
      <c r="T19" s="6" t="str">
        <f t="shared" si="3"/>
        <v>2 (0)</v>
      </c>
      <c r="V19" s="6" t="s">
        <v>62</v>
      </c>
      <c r="W19" s="6"/>
      <c r="X19" s="6"/>
      <c r="Y19" s="6"/>
      <c r="Z19" s="6"/>
      <c r="AA19" s="6" t="str">
        <f t="shared" si="4"/>
        <v/>
      </c>
      <c r="AC19" s="15" t="s">
        <v>2</v>
      </c>
      <c r="AD19" s="16">
        <v>0.5833333333333334</v>
      </c>
      <c r="AE19" s="16">
        <v>0.7083333333333334</v>
      </c>
      <c r="AF19" s="16">
        <v>0.875</v>
      </c>
      <c r="AG19" s="16">
        <v>0.041666666666666664</v>
      </c>
    </row>
    <row r="20" ht="15.75" customHeight="1">
      <c r="A20" s="6" t="s">
        <v>83</v>
      </c>
      <c r="B20" s="7" t="s">
        <v>32</v>
      </c>
      <c r="C20" s="6" t="s">
        <v>33</v>
      </c>
      <c r="D20" s="6" t="str">
        <f t="shared" si="1"/>
        <v>2 (0)</v>
      </c>
      <c r="H20" s="6" t="s">
        <v>83</v>
      </c>
      <c r="I20" s="6" t="s">
        <v>52</v>
      </c>
      <c r="J20" s="6" t="s">
        <v>33</v>
      </c>
      <c r="K20" s="6" t="str">
        <f t="shared" si="2"/>
        <v>0 (0)</v>
      </c>
      <c r="O20" s="6" t="s">
        <v>83</v>
      </c>
      <c r="P20" s="8" t="s">
        <v>33</v>
      </c>
      <c r="Q20" s="8" t="s">
        <v>46</v>
      </c>
      <c r="R20" s="8" t="s">
        <v>47</v>
      </c>
      <c r="S20" s="8" t="s">
        <v>32</v>
      </c>
      <c r="T20" s="6" t="str">
        <f t="shared" si="3"/>
        <v>9 (1)</v>
      </c>
      <c r="V20" s="6" t="s">
        <v>83</v>
      </c>
      <c r="W20" s="6"/>
      <c r="X20" s="6"/>
      <c r="Y20" s="6"/>
      <c r="Z20" s="6"/>
      <c r="AA20" s="6" t="str">
        <f t="shared" si="4"/>
        <v/>
      </c>
      <c r="AC20" s="4" t="s">
        <v>84</v>
      </c>
      <c r="AD20" s="4" t="s">
        <v>85</v>
      </c>
      <c r="AE20" s="4" t="s">
        <v>86</v>
      </c>
      <c r="AF20" s="4" t="s">
        <v>87</v>
      </c>
      <c r="AG20" s="4" t="s">
        <v>88</v>
      </c>
      <c r="AH20" s="4" t="s">
        <v>8</v>
      </c>
    </row>
    <row r="21" ht="15.75" customHeight="1">
      <c r="A21" s="6" t="s">
        <v>89</v>
      </c>
      <c r="B21" s="6" t="s">
        <v>90</v>
      </c>
      <c r="C21" s="6" t="s">
        <v>44</v>
      </c>
      <c r="D21" s="6" t="str">
        <f t="shared" si="1"/>
        <v>0 (0)</v>
      </c>
      <c r="H21" s="6" t="s">
        <v>89</v>
      </c>
      <c r="I21" s="6" t="s">
        <v>91</v>
      </c>
      <c r="J21" s="6" t="s">
        <v>91</v>
      </c>
      <c r="K21" s="6" t="str">
        <f t="shared" si="2"/>
        <v>0 (0)</v>
      </c>
      <c r="O21" s="6" t="s">
        <v>89</v>
      </c>
      <c r="P21" s="6"/>
      <c r="Q21" s="14" t="s">
        <v>32</v>
      </c>
      <c r="R21" s="14" t="s">
        <v>37</v>
      </c>
      <c r="S21" s="14" t="s">
        <v>47</v>
      </c>
      <c r="T21" s="6" t="str">
        <f t="shared" si="3"/>
        <v>2 (0)</v>
      </c>
      <c r="V21" s="6" t="s">
        <v>89</v>
      </c>
      <c r="W21" s="6"/>
      <c r="X21" s="6"/>
      <c r="Y21" s="6"/>
      <c r="Z21" s="6"/>
      <c r="AA21" s="6" t="str">
        <f t="shared" si="4"/>
        <v/>
      </c>
      <c r="AC21" s="6" t="s">
        <v>38</v>
      </c>
      <c r="AD21" s="6"/>
      <c r="AE21" s="6"/>
      <c r="AF21" s="6"/>
      <c r="AG21" s="6"/>
      <c r="AH21" s="6" t="str">
        <f t="shared" ref="AH21:AH33" si="6">IF(COUNTA(AD21:AG21)=0,"",SUM(IF(OR(AD21="",AD$34=""),0,IF(AD21=AD$34,5,IFERROR(IF(SIGN(VALUE(LEFT(AD21,FIND("x",AD21)-1))-VALUE(MID(AD21,FIND("x",AD21)+1,99)))=SIGN(VALUE(LEFT(AD$34,FIND("x",AD$34)-1))-VALUE(MID(AD$34,FIND("x",AD$34)+1,99))),IF(VALUE(LEFT(AD$34,FIND("x",AD$34)-1))=VALUE(MID(AD$34,FIND("x",AD$34)+1,99)),1,2),0),0))),IF(OR(AE21="",AE$34=""),0,IF(AE21=AE$34,5,IFERROR(IF(SIGN(VALUE(LEFT(AE21,FIND("x",AE21)-1))-VALUE(MID(AE21,FIND("x",AE21)+1,99)))=SIGN(VALUE(LEFT(AE$34,FIND("x",AE$34)-1))-VALUE(MID(AE$34,FIND("x",AE$34)+1,99))),IF(VALUE(LEFT(AE$34,FIND("x",AE$34)-1))=VALUE(MID(AE$34,FIND("x",AE$34)+1,99)),1,2),0),0))),IF(OR(AF21="",AF$34=""),0,IF(AF21=AF$34,5,IFERROR(IF(SIGN(VALUE(LEFT(AF21,FIND("x",AF21)-1))-VALUE(MID(AF21,FIND("x",AF21)+1,99)))=SIGN(VALUE(LEFT(AF$34,FIND("x",AF$34)-1))-VALUE(MID(AF$34,FIND("x",AF$34)+1,99))),IF(VALUE(LEFT(AF$34,FIND("x",AF$34)-1))=VALUE(MID(AF$34,FIND("x",AF$34)+1,99)),1,2),0),0))),IF(OR(AG21="",AG$34=""),0,IF(AG21=AG$34,5,IFERROR(IF(SIGN(VALUE(LEFT(AG21,FIND("x",AG21)-1))-VALUE(MID(AG21,FIND("x",AG21)+1,99)))=SIGN(VALUE(LEFT(AG$34,FIND("x",AG$34)-1))-VALUE(MID(AG$34,FIND("x",AG$34)+1,99))),IF(VALUE(LEFT(AG$34,FIND("x",AG$34)-1))=VALUE(MID(AG$34,FIND("x",AG$34)+1,99)),1,2),0),0))))&amp;" ("&amp;SUM(IF(AND(AD21&lt;&gt;"",AD21=AD$34),1,0),IF(AND(AE21&lt;&gt;"",AE21=AE$34),1,0),IF(AND(AF21&lt;&gt;"",AF21=AF$34),1,0),IF(AND(AG21&lt;&gt;"",AG21=AG$34),1,0))&amp;")")</f>
        <v/>
      </c>
    </row>
    <row r="22" ht="15.75" customHeight="1">
      <c r="A22" s="6" t="s">
        <v>92</v>
      </c>
      <c r="B22" s="9" t="s">
        <v>52</v>
      </c>
      <c r="C22" s="6" t="s">
        <v>33</v>
      </c>
      <c r="D22" s="6" t="str">
        <f t="shared" si="1"/>
        <v>5 (1)</v>
      </c>
      <c r="H22" s="6" t="s">
        <v>92</v>
      </c>
      <c r="I22" s="11" t="s">
        <v>33</v>
      </c>
      <c r="J22" s="6" t="s">
        <v>33</v>
      </c>
      <c r="K22" s="6" t="str">
        <f t="shared" si="2"/>
        <v>5 (1)</v>
      </c>
      <c r="O22" s="6" t="s">
        <v>92</v>
      </c>
      <c r="P22" s="6" t="s">
        <v>37</v>
      </c>
      <c r="Q22" s="6" t="s">
        <v>33</v>
      </c>
      <c r="R22" s="6" t="s">
        <v>47</v>
      </c>
      <c r="S22" s="6" t="s">
        <v>47</v>
      </c>
      <c r="T22" s="6" t="str">
        <f t="shared" si="3"/>
        <v>7 (1)</v>
      </c>
      <c r="V22" s="6" t="s">
        <v>92</v>
      </c>
      <c r="W22" s="6"/>
      <c r="X22" s="6"/>
      <c r="Y22" s="6"/>
      <c r="Z22" s="6"/>
      <c r="AA22" s="6" t="str">
        <f t="shared" si="4"/>
        <v/>
      </c>
      <c r="AC22" s="6" t="s">
        <v>45</v>
      </c>
      <c r="AD22" s="6"/>
      <c r="AE22" s="6"/>
      <c r="AF22" s="6"/>
      <c r="AG22" s="6"/>
      <c r="AH22" s="6" t="str">
        <f t="shared" si="6"/>
        <v/>
      </c>
    </row>
    <row r="23" ht="15.75" customHeight="1">
      <c r="A23" s="6" t="s">
        <v>68</v>
      </c>
      <c r="B23" s="9" t="s">
        <v>52</v>
      </c>
      <c r="C23" s="6" t="s">
        <v>33</v>
      </c>
      <c r="D23" s="6" t="str">
        <f t="shared" si="1"/>
        <v>5 (1)</v>
      </c>
      <c r="H23" s="6" t="s">
        <v>68</v>
      </c>
      <c r="I23" s="6" t="s">
        <v>30</v>
      </c>
      <c r="J23" s="6" t="s">
        <v>30</v>
      </c>
      <c r="K23" s="6" t="str">
        <f t="shared" si="2"/>
        <v>0 (0)</v>
      </c>
      <c r="O23" s="6" t="s">
        <v>68</v>
      </c>
      <c r="P23" s="6" t="s">
        <v>44</v>
      </c>
      <c r="Q23" s="6" t="s">
        <v>32</v>
      </c>
      <c r="R23" s="6" t="s">
        <v>37</v>
      </c>
      <c r="S23" s="6" t="s">
        <v>47</v>
      </c>
      <c r="T23" s="6" t="str">
        <f t="shared" si="3"/>
        <v>2 (0)</v>
      </c>
      <c r="V23" s="6" t="s">
        <v>68</v>
      </c>
      <c r="W23" s="6"/>
      <c r="X23" s="6"/>
      <c r="Y23" s="6"/>
      <c r="Z23" s="6"/>
      <c r="AA23" s="6" t="str">
        <f t="shared" si="4"/>
        <v/>
      </c>
      <c r="AC23" s="6" t="s">
        <v>48</v>
      </c>
      <c r="AD23" s="6"/>
      <c r="AE23" s="6"/>
      <c r="AF23" s="6"/>
      <c r="AG23" s="6"/>
      <c r="AH23" s="6" t="str">
        <f t="shared" si="6"/>
        <v/>
      </c>
    </row>
    <row r="24" ht="15.75" customHeight="1">
      <c r="A24" s="6" t="s">
        <v>93</v>
      </c>
      <c r="B24" s="7" t="s">
        <v>32</v>
      </c>
      <c r="C24" s="6" t="s">
        <v>47</v>
      </c>
      <c r="D24" s="6" t="str">
        <f t="shared" si="1"/>
        <v>2 (0)</v>
      </c>
      <c r="H24" s="6" t="s">
        <v>93</v>
      </c>
      <c r="I24" s="6" t="s">
        <v>30</v>
      </c>
      <c r="J24" s="6" t="s">
        <v>46</v>
      </c>
      <c r="K24" s="6" t="str">
        <f t="shared" si="2"/>
        <v>0 (0)</v>
      </c>
      <c r="O24" s="6" t="s">
        <v>93</v>
      </c>
      <c r="P24" s="6" t="s">
        <v>35</v>
      </c>
      <c r="Q24" s="6" t="s">
        <v>36</v>
      </c>
      <c r="R24" s="6" t="s">
        <v>37</v>
      </c>
      <c r="S24" s="6" t="s">
        <v>47</v>
      </c>
      <c r="T24" s="6" t="str">
        <f t="shared" si="3"/>
        <v>2 (0)</v>
      </c>
      <c r="V24" s="6" t="s">
        <v>93</v>
      </c>
      <c r="W24" s="6"/>
      <c r="X24" s="6"/>
      <c r="Y24" s="6"/>
      <c r="Z24" s="6"/>
      <c r="AA24" s="6" t="str">
        <f t="shared" si="4"/>
        <v/>
      </c>
      <c r="AC24" s="6" t="s">
        <v>51</v>
      </c>
      <c r="AD24" s="6"/>
      <c r="AE24" s="6"/>
      <c r="AF24" s="6"/>
      <c r="AG24" s="6"/>
      <c r="AH24" s="6" t="str">
        <f t="shared" si="6"/>
        <v/>
      </c>
    </row>
    <row r="25" ht="15.75" customHeight="1">
      <c r="A25" s="4" t="s">
        <v>72</v>
      </c>
      <c r="B25" s="4" t="s">
        <v>52</v>
      </c>
      <c r="C25" s="4" t="s">
        <v>32</v>
      </c>
      <c r="D25" s="6"/>
      <c r="H25" s="4" t="s">
        <v>72</v>
      </c>
      <c r="I25" s="4" t="s">
        <v>33</v>
      </c>
      <c r="J25" s="4" t="s">
        <v>94</v>
      </c>
      <c r="K25" s="6"/>
      <c r="O25" s="4" t="s">
        <v>72</v>
      </c>
      <c r="P25" s="14" t="s">
        <v>33</v>
      </c>
      <c r="Q25" s="14" t="s">
        <v>33</v>
      </c>
      <c r="R25" s="14" t="s">
        <v>46</v>
      </c>
      <c r="S25" s="14" t="s">
        <v>52</v>
      </c>
      <c r="T25" s="6"/>
      <c r="V25" s="4" t="s">
        <v>72</v>
      </c>
      <c r="W25" s="6"/>
      <c r="X25" s="6"/>
      <c r="Y25" s="6"/>
      <c r="Z25" s="6"/>
      <c r="AA25" s="6"/>
      <c r="AF25" s="6"/>
      <c r="AG25" s="6"/>
      <c r="AH25" s="6" t="str">
        <f t="shared" si="6"/>
        <v/>
      </c>
    </row>
    <row r="26" ht="15.75" customHeight="1">
      <c r="AF26" s="6"/>
      <c r="AG26" s="6"/>
      <c r="AH26" s="6" t="str">
        <f t="shared" si="6"/>
        <v/>
      </c>
    </row>
    <row r="27" ht="15.75" customHeight="1">
      <c r="A27" s="15" t="s">
        <v>95</v>
      </c>
      <c r="B27" s="16">
        <v>0.6666666666666666</v>
      </c>
      <c r="C27" s="16">
        <v>0.7916666666666666</v>
      </c>
      <c r="D27" s="16">
        <v>0.9166666666666666</v>
      </c>
      <c r="E27" s="16">
        <v>0.041666666666666664</v>
      </c>
      <c r="H27" s="15" t="s">
        <v>96</v>
      </c>
      <c r="I27" s="16">
        <v>0.5833333333333334</v>
      </c>
      <c r="J27" s="16">
        <v>0.7083333333333334</v>
      </c>
      <c r="K27" s="16">
        <v>0.8333333333333334</v>
      </c>
      <c r="L27" s="16">
        <v>0.9583333333333334</v>
      </c>
      <c r="O27" s="15" t="s">
        <v>0</v>
      </c>
      <c r="P27" s="16">
        <v>0.5416666666666666</v>
      </c>
      <c r="Q27" s="16">
        <v>0.6666666666666666</v>
      </c>
      <c r="R27" s="16">
        <v>0.7916666666666666</v>
      </c>
      <c r="S27" s="16">
        <v>0.9166666666666666</v>
      </c>
      <c r="V27" s="15" t="s">
        <v>1</v>
      </c>
      <c r="W27" s="16">
        <v>0.6666666666666666</v>
      </c>
      <c r="X27" s="16">
        <v>0.7916666666666666</v>
      </c>
      <c r="Y27" s="16">
        <v>0.8958333333333334</v>
      </c>
      <c r="Z27" s="16">
        <v>0.0</v>
      </c>
      <c r="AC27" s="6" t="s">
        <v>54</v>
      </c>
      <c r="AD27" s="6"/>
      <c r="AE27" s="6"/>
      <c r="AF27" s="6"/>
      <c r="AG27" s="6"/>
      <c r="AH27" s="6" t="str">
        <f t="shared" si="6"/>
        <v/>
      </c>
    </row>
    <row r="28" ht="15.75" customHeight="1">
      <c r="A28" s="4" t="s">
        <v>97</v>
      </c>
      <c r="B28" s="4" t="s">
        <v>98</v>
      </c>
      <c r="C28" s="4" t="s">
        <v>99</v>
      </c>
      <c r="D28" s="4" t="s">
        <v>100</v>
      </c>
      <c r="E28" s="4" t="s">
        <v>101</v>
      </c>
      <c r="F28" s="4" t="s">
        <v>8</v>
      </c>
      <c r="H28" s="4" t="s">
        <v>102</v>
      </c>
      <c r="I28" s="4" t="s">
        <v>103</v>
      </c>
      <c r="J28" s="4" t="s">
        <v>104</v>
      </c>
      <c r="K28" s="4" t="s">
        <v>105</v>
      </c>
      <c r="L28" s="4" t="s">
        <v>106</v>
      </c>
      <c r="M28" s="4" t="s">
        <v>8</v>
      </c>
      <c r="O28" s="4" t="s">
        <v>107</v>
      </c>
      <c r="P28" s="4" t="s">
        <v>108</v>
      </c>
      <c r="Q28" s="4" t="s">
        <v>109</v>
      </c>
      <c r="R28" s="4" t="s">
        <v>110</v>
      </c>
      <c r="S28" s="4" t="s">
        <v>111</v>
      </c>
      <c r="T28" s="4" t="s">
        <v>8</v>
      </c>
      <c r="V28" s="4" t="s">
        <v>112</v>
      </c>
      <c r="W28" s="4" t="s">
        <v>113</v>
      </c>
      <c r="X28" s="4" t="s">
        <v>114</v>
      </c>
      <c r="Y28" s="4" t="s">
        <v>115</v>
      </c>
      <c r="Z28" s="4" t="s">
        <v>116</v>
      </c>
      <c r="AA28" s="4" t="s">
        <v>8</v>
      </c>
      <c r="AC28" s="6" t="s">
        <v>57</v>
      </c>
      <c r="AD28" s="6"/>
      <c r="AE28" s="6"/>
      <c r="AF28" s="6"/>
      <c r="AG28" s="6"/>
      <c r="AH28" s="6" t="str">
        <f t="shared" si="6"/>
        <v/>
      </c>
    </row>
    <row r="29" ht="15.75" customHeight="1">
      <c r="A29" s="6" t="s">
        <v>38</v>
      </c>
      <c r="B29" s="6"/>
      <c r="C29" s="6"/>
      <c r="D29" s="6"/>
      <c r="E29" s="6"/>
      <c r="F29" s="6" t="str">
        <f t="shared" ref="F29:F39" si="7">IF(COUNTA(B29:E29)=0,"",SUM(IF(OR(B29="",B$43=""),0,IF(B29=B$43,5,IFERROR(IF(SIGN(VALUE(LEFT(B29,FIND("x",B29)-1))-VALUE(MID(B29,FIND("x",B29)+1,99)))=SIGN(VALUE(LEFT(B$43,FIND("x",B$43)-1))-VALUE(MID(B$43,FIND("x",B$43)+1,99))),IF(VALUE(LEFT(B$43,FIND("x",B$43)-1))=VALUE(MID(B$43,FIND("x",B$43)+1,99)),1,2),0),0))),IF(OR(C29="",C$43=""),0,IF(C29=C$43,5,IFERROR(IF(SIGN(VALUE(LEFT(C29,FIND("x",C29)-1))-VALUE(MID(C29,FIND("x",C29)+1,99)))=SIGN(VALUE(LEFT(C$43,FIND("x",C$43)-1))-VALUE(MID(C$43,FIND("x",C$43)+1,99))),IF(VALUE(LEFT(C$43,FIND("x",C$43)-1))=VALUE(MID(C$43,FIND("x",C$43)+1,99)),1,2),0),0))),IF(OR(D29="",D$43=""),0,IF(D29=D$43,5,IFERROR(IF(SIGN(VALUE(LEFT(D29,FIND("x",D29)-1))-VALUE(MID(D29,FIND("x",D29)+1,99)))=SIGN(VALUE(LEFT(D$43,FIND("x",D$43)-1))-VALUE(MID(D$43,FIND("x",D$43)+1,99))),IF(VALUE(LEFT(D$43,FIND("x",D$43)-1))=VALUE(MID(D$43,FIND("x",D$43)+1,99)),1,2),0),0))),IF(OR(E29="",E$43=""),0,IF(E29=E$43,5,IFERROR(IF(SIGN(VALUE(LEFT(E29,FIND("x",E29)-1))-VALUE(MID(E29,FIND("x",E29)+1,99)))=SIGN(VALUE(LEFT(E$43,FIND("x",E$43)-1))-VALUE(MID(E$43,FIND("x",E$43)+1,99))),IF(VALUE(LEFT(E$43,FIND("x",E$43)-1))=VALUE(MID(E$43,FIND("x",E$43)+1,99)),1,2),0),0))))&amp;" ("&amp;SUM(IF(AND(B29&lt;&gt;"",B29=B$43),1,0),IF(AND(C29&lt;&gt;"",C29=C$43),1,0),IF(AND(D29&lt;&gt;"",D29=D$43),1,0),IF(AND(E29&lt;&gt;"",E29=E$43),1,0))&amp;")")</f>
        <v/>
      </c>
      <c r="H29" s="6" t="s">
        <v>38</v>
      </c>
      <c r="I29" s="6"/>
      <c r="J29" s="6"/>
      <c r="K29" s="6"/>
      <c r="L29" s="6"/>
      <c r="M29" s="6" t="str">
        <f t="shared" ref="M29:M39" si="8">IF(COUNTA(I29:L29)=0,"",SUM(IF(OR(I29="",I$43=""),0,IF(I29=I$43,5,IFERROR(IF(SIGN(VALUE(LEFT(I29,FIND("x",I29)-1))-VALUE(MID(I29,FIND("x",I29)+1,99)))=SIGN(VALUE(LEFT(I$43,FIND("x",I$43)-1))-VALUE(MID(I$43,FIND("x",I$43)+1,99))),IF(VALUE(LEFT(I$43,FIND("x",I$43)-1))=VALUE(MID(I$43,FIND("x",I$43)+1,99)),1,2),0),0))),IF(OR(J29="",J$43=""),0,IF(J29=J$43,5,IFERROR(IF(SIGN(VALUE(LEFT(J29,FIND("x",J29)-1))-VALUE(MID(J29,FIND("x",J29)+1,99)))=SIGN(VALUE(LEFT(J$43,FIND("x",J$43)-1))-VALUE(MID(J$43,FIND("x",J$43)+1,99))),IF(VALUE(LEFT(J$43,FIND("x",J$43)-1))=VALUE(MID(J$43,FIND("x",J$43)+1,99)),1,2),0),0))),IF(OR(K29="",K$43=""),0,IF(K29=K$43,5,IFERROR(IF(SIGN(VALUE(LEFT(K29,FIND("x",K29)-1))-VALUE(MID(K29,FIND("x",K29)+1,99)))=SIGN(VALUE(LEFT(K$43,FIND("x",K$43)-1))-VALUE(MID(K$43,FIND("x",K$43)+1,99))),IF(VALUE(LEFT(K$43,FIND("x",K$43)-1))=VALUE(MID(K$43,FIND("x",K$43)+1,99)),1,2),0),0))),IF(OR(L29="",L$43=""),0,IF(L29=L$43,5,IFERROR(IF(SIGN(VALUE(LEFT(L29,FIND("x",L29)-1))-VALUE(MID(L29,FIND("x",L29)+1,99)))=SIGN(VALUE(LEFT(L$43,FIND("x",L$43)-1))-VALUE(MID(L$43,FIND("x",L$43)+1,99))),IF(VALUE(LEFT(L$43,FIND("x",L$43)-1))=VALUE(MID(L$43,FIND("x",L$43)+1,99)),1,2),0),0))))&amp;" ("&amp;SUM(IF(AND(I29&lt;&gt;"",I29=I$43),1,0),IF(AND(J29&lt;&gt;"",J29=J$43),1,0),IF(AND(K29&lt;&gt;"",K29=K$43),1,0),IF(AND(L29&lt;&gt;"",L29=L$43),1,0))&amp;")")</f>
        <v/>
      </c>
      <c r="O29" s="6" t="s">
        <v>38</v>
      </c>
      <c r="P29" s="6"/>
      <c r="Q29" s="6"/>
      <c r="R29" s="6"/>
      <c r="S29" s="6"/>
      <c r="T29" s="6" t="str">
        <f t="shared" ref="T29:T39" si="9">IF(COUNTA(P29:S29)=0,"",SUM(IF(OR(P29="",P$43=""),0,IF(P29=P$43,5,IFERROR(IF(SIGN(VALUE(LEFT(P29,FIND("x",P29)-1))-VALUE(MID(P29,FIND("x",P29)+1,99)))=SIGN(VALUE(LEFT(P$43,FIND("x",P$43)-1))-VALUE(MID(P$43,FIND("x",P$43)+1,99))),IF(VALUE(LEFT(P$43,FIND("x",P$43)-1))=VALUE(MID(P$43,FIND("x",P$43)+1,99)),1,2),0),0))),IF(OR(Q29="",Q$43=""),0,IF(Q29=Q$43,5,IFERROR(IF(SIGN(VALUE(LEFT(Q29,FIND("x",Q29)-1))-VALUE(MID(Q29,FIND("x",Q29)+1,99)))=SIGN(VALUE(LEFT(Q$43,FIND("x",Q$43)-1))-VALUE(MID(Q$43,FIND("x",Q$43)+1,99))),IF(VALUE(LEFT(Q$43,FIND("x",Q$43)-1))=VALUE(MID(Q$43,FIND("x",Q$43)+1,99)),1,2),0),0))),IF(OR(R29="",R$43=""),0,IF(R29=R$43,5,IFERROR(IF(SIGN(VALUE(LEFT(R29,FIND("x",R29)-1))-VALUE(MID(R29,FIND("x",R29)+1,99)))=SIGN(VALUE(LEFT(R$43,FIND("x",R$43)-1))-VALUE(MID(R$43,FIND("x",R$43)+1,99))),IF(VALUE(LEFT(R$43,FIND("x",R$43)-1))=VALUE(MID(R$43,FIND("x",R$43)+1,99)),1,2),0),0))),IF(OR(S29="",S$43=""),0,IF(S29=S$43,5,IFERROR(IF(SIGN(VALUE(LEFT(S29,FIND("x",S29)-1))-VALUE(MID(S29,FIND("x",S29)+1,99)))=SIGN(VALUE(LEFT(S$43,FIND("x",S$43)-1))-VALUE(MID(S$43,FIND("x",S$43)+1,99))),IF(VALUE(LEFT(S$43,FIND("x",S$43)-1))=VALUE(MID(S$43,FIND("x",S$43)+1,99)),1,2),0),0))))&amp;" ("&amp;SUM(IF(AND(P29&lt;&gt;"",P29=P$43),1,0),IF(AND(Q29&lt;&gt;"",Q29=Q$43),1,0),IF(AND(R29&lt;&gt;"",R29=R$43),1,0),IF(AND(S29&lt;&gt;"",S29=S$43),1,0))&amp;")")</f>
        <v/>
      </c>
      <c r="V29" s="6" t="s">
        <v>38</v>
      </c>
      <c r="W29" s="6"/>
      <c r="X29" s="6"/>
      <c r="Y29" s="6"/>
      <c r="Z29" s="6"/>
      <c r="AA29" s="6" t="str">
        <f t="shared" ref="AA29:AA39" si="10">IF(COUNTA(W29:Z29)=0,"",SUM(IF(OR(W29="",W$43=""),0,IF(W29=W$43,5,IFERROR(IF(SIGN(VALUE(LEFT(W29,FIND("x",W29)-1))-VALUE(MID(W29,FIND("x",W29)+1,99)))=SIGN(VALUE(LEFT(W$43,FIND("x",W$43)-1))-VALUE(MID(W$43,FIND("x",W$43)+1,99))),IF(VALUE(LEFT(W$43,FIND("x",W$43)-1))=VALUE(MID(W$43,FIND("x",W$43)+1,99)),1,2),0),0))),IF(OR(X29="",X$43=""),0,IF(X29=X$43,5,IFERROR(IF(SIGN(VALUE(LEFT(X29,FIND("x",X29)-1))-VALUE(MID(X29,FIND("x",X29)+1,99)))=SIGN(VALUE(LEFT(X$43,FIND("x",X$43)-1))-VALUE(MID(X$43,FIND("x",X$43)+1,99))),IF(VALUE(LEFT(X$43,FIND("x",X$43)-1))=VALUE(MID(X$43,FIND("x",X$43)+1,99)),1,2),0),0))),IF(OR(Y29="",Y$43=""),0,IF(Y29=Y$43,5,IFERROR(IF(SIGN(VALUE(LEFT(Y29,FIND("x",Y29)-1))-VALUE(MID(Y29,FIND("x",Y29)+1,99)))=SIGN(VALUE(LEFT(Y$43,FIND("x",Y$43)-1))-VALUE(MID(Y$43,FIND("x",Y$43)+1,99))),IF(VALUE(LEFT(Y$43,FIND("x",Y$43)-1))=VALUE(MID(Y$43,FIND("x",Y$43)+1,99)),1,2),0),0))),IF(OR(Z29="",Z$43=""),0,IF(Z29=Z$43,5,IFERROR(IF(SIGN(VALUE(LEFT(Z29,FIND("x",Z29)-1))-VALUE(MID(Z29,FIND("x",Z29)+1,99)))=SIGN(VALUE(LEFT(Z$43,FIND("x",Z$43)-1))-VALUE(MID(Z$43,FIND("x",Z$43)+1,99))),IF(VALUE(LEFT(Z$43,FIND("x",Z$43)-1))=VALUE(MID(Z$43,FIND("x",Z$43)+1,99)),1,2),0),0))))&amp;" ("&amp;SUM(IF(AND(W29&lt;&gt;"",W29=W$43),1,0),IF(AND(X29&lt;&gt;"",X29=X$43),1,0),IF(AND(Y29&lt;&gt;"",Y29=Y$43),1,0),IF(AND(Z29&lt;&gt;"",Z29=Z$43),1,0))&amp;")")</f>
        <v/>
      </c>
      <c r="AC29" s="6" t="s">
        <v>59</v>
      </c>
      <c r="AD29" s="6"/>
      <c r="AE29" s="6"/>
      <c r="AF29" s="6"/>
      <c r="AG29" s="6"/>
      <c r="AH29" s="6" t="str">
        <f t="shared" si="6"/>
        <v/>
      </c>
    </row>
    <row r="30" ht="15.75" customHeight="1">
      <c r="A30" s="6" t="s">
        <v>45</v>
      </c>
      <c r="B30" s="6"/>
      <c r="C30" s="6"/>
      <c r="D30" s="6"/>
      <c r="E30" s="6"/>
      <c r="F30" s="6" t="str">
        <f t="shared" si="7"/>
        <v/>
      </c>
      <c r="H30" s="6" t="s">
        <v>45</v>
      </c>
      <c r="I30" s="6"/>
      <c r="J30" s="6"/>
      <c r="K30" s="6"/>
      <c r="L30" s="6"/>
      <c r="M30" s="6" t="str">
        <f t="shared" si="8"/>
        <v/>
      </c>
      <c r="O30" s="6" t="s">
        <v>45</v>
      </c>
      <c r="P30" s="6"/>
      <c r="Q30" s="6"/>
      <c r="R30" s="6"/>
      <c r="S30" s="6"/>
      <c r="T30" s="6" t="str">
        <f t="shared" si="9"/>
        <v/>
      </c>
      <c r="V30" s="6" t="s">
        <v>45</v>
      </c>
      <c r="W30" s="6"/>
      <c r="X30" s="6"/>
      <c r="Y30" s="6"/>
      <c r="Z30" s="6"/>
      <c r="AA30" s="6" t="str">
        <f t="shared" si="10"/>
        <v/>
      </c>
      <c r="AC30" s="6" t="s">
        <v>62</v>
      </c>
      <c r="AD30" s="6"/>
      <c r="AE30" s="6"/>
      <c r="AF30" s="6"/>
      <c r="AG30" s="6"/>
      <c r="AH30" s="6" t="str">
        <f t="shared" si="6"/>
        <v/>
      </c>
    </row>
    <row r="31" ht="15.75" customHeight="1">
      <c r="A31" s="6" t="s">
        <v>48</v>
      </c>
      <c r="B31" s="6"/>
      <c r="C31" s="6"/>
      <c r="D31" s="6"/>
      <c r="E31" s="6"/>
      <c r="F31" s="6" t="str">
        <f t="shared" si="7"/>
        <v/>
      </c>
      <c r="H31" s="6" t="s">
        <v>48</v>
      </c>
      <c r="I31" s="6"/>
      <c r="J31" s="6"/>
      <c r="K31" s="6"/>
      <c r="L31" s="6"/>
      <c r="M31" s="6" t="str">
        <f t="shared" si="8"/>
        <v/>
      </c>
      <c r="O31" s="6" t="s">
        <v>48</v>
      </c>
      <c r="P31" s="6"/>
      <c r="Q31" s="6"/>
      <c r="R31" s="6"/>
      <c r="S31" s="6"/>
      <c r="T31" s="6" t="str">
        <f t="shared" si="9"/>
        <v/>
      </c>
      <c r="V31" s="6" t="s">
        <v>48</v>
      </c>
      <c r="W31" s="6"/>
      <c r="X31" s="6"/>
      <c r="Y31" s="6"/>
      <c r="Z31" s="6"/>
      <c r="AA31" s="6" t="str">
        <f t="shared" si="10"/>
        <v/>
      </c>
      <c r="AC31" s="6" t="s">
        <v>65</v>
      </c>
      <c r="AD31" s="6"/>
      <c r="AE31" s="6"/>
      <c r="AF31" s="6"/>
      <c r="AG31" s="6"/>
      <c r="AH31" s="6" t="str">
        <f t="shared" si="6"/>
        <v/>
      </c>
    </row>
    <row r="32" ht="15.75" customHeight="1">
      <c r="A32" s="6" t="s">
        <v>51</v>
      </c>
      <c r="B32" s="6"/>
      <c r="C32" s="6"/>
      <c r="D32" s="6"/>
      <c r="E32" s="6"/>
      <c r="F32" s="6" t="str">
        <f t="shared" si="7"/>
        <v/>
      </c>
      <c r="H32" s="6" t="s">
        <v>51</v>
      </c>
      <c r="I32" s="6"/>
      <c r="J32" s="6"/>
      <c r="K32" s="6"/>
      <c r="L32" s="6"/>
      <c r="M32" s="6" t="str">
        <f t="shared" si="8"/>
        <v/>
      </c>
      <c r="O32" s="6" t="s">
        <v>51</v>
      </c>
      <c r="P32" s="6"/>
      <c r="Q32" s="6"/>
      <c r="R32" s="6"/>
      <c r="S32" s="6"/>
      <c r="T32" s="6" t="str">
        <f t="shared" si="9"/>
        <v/>
      </c>
      <c r="V32" s="6" t="s">
        <v>51</v>
      </c>
      <c r="W32" s="6"/>
      <c r="X32" s="6"/>
      <c r="Y32" s="6"/>
      <c r="Z32" s="6"/>
      <c r="AA32" s="6" t="str">
        <f t="shared" si="10"/>
        <v/>
      </c>
      <c r="AC32" s="6" t="s">
        <v>68</v>
      </c>
      <c r="AD32" s="6"/>
      <c r="AE32" s="6"/>
      <c r="AH32" s="5" t="str">
        <f t="shared" si="6"/>
        <v/>
      </c>
    </row>
    <row r="33" ht="15.75" customHeight="1">
      <c r="A33" s="6" t="s">
        <v>54</v>
      </c>
      <c r="B33" s="6"/>
      <c r="C33" s="6"/>
      <c r="D33" s="6"/>
      <c r="E33" s="6"/>
      <c r="F33" s="6" t="str">
        <f t="shared" si="7"/>
        <v/>
      </c>
      <c r="H33" s="6" t="s">
        <v>54</v>
      </c>
      <c r="I33" s="6"/>
      <c r="J33" s="6"/>
      <c r="K33" s="6"/>
      <c r="L33" s="6"/>
      <c r="M33" s="6" t="str">
        <f t="shared" si="8"/>
        <v/>
      </c>
      <c r="O33" s="6" t="s">
        <v>54</v>
      </c>
      <c r="P33" s="6"/>
      <c r="Q33" s="6"/>
      <c r="R33" s="6"/>
      <c r="S33" s="6"/>
      <c r="T33" s="6" t="str">
        <f t="shared" si="9"/>
        <v/>
      </c>
      <c r="V33" s="6" t="s">
        <v>54</v>
      </c>
      <c r="W33" s="6"/>
      <c r="X33" s="6"/>
      <c r="Y33" s="6"/>
      <c r="Z33" s="6"/>
      <c r="AA33" s="6" t="str">
        <f t="shared" si="10"/>
        <v/>
      </c>
      <c r="AC33" s="6" t="s">
        <v>70</v>
      </c>
      <c r="AD33" s="6"/>
      <c r="AE33" s="6"/>
      <c r="AH33" s="5" t="str">
        <f t="shared" si="6"/>
        <v/>
      </c>
    </row>
    <row r="34" ht="15.75" customHeight="1">
      <c r="A34" s="6" t="s">
        <v>57</v>
      </c>
      <c r="B34" s="6"/>
      <c r="C34" s="6"/>
      <c r="D34" s="6"/>
      <c r="E34" s="6"/>
      <c r="F34" s="6" t="str">
        <f t="shared" si="7"/>
        <v/>
      </c>
      <c r="H34" s="6" t="s">
        <v>57</v>
      </c>
      <c r="I34" s="6"/>
      <c r="J34" s="6"/>
      <c r="K34" s="6"/>
      <c r="L34" s="6"/>
      <c r="M34" s="6" t="str">
        <f t="shared" si="8"/>
        <v/>
      </c>
      <c r="O34" s="6" t="s">
        <v>57</v>
      </c>
      <c r="P34" s="6"/>
      <c r="Q34" s="6"/>
      <c r="R34" s="6"/>
      <c r="S34" s="6"/>
      <c r="T34" s="6" t="str">
        <f t="shared" si="9"/>
        <v/>
      </c>
      <c r="V34" s="6" t="s">
        <v>57</v>
      </c>
      <c r="W34" s="6"/>
      <c r="X34" s="6"/>
      <c r="Y34" s="6"/>
      <c r="Z34" s="6"/>
      <c r="AA34" s="6" t="str">
        <f t="shared" si="10"/>
        <v/>
      </c>
      <c r="AC34" s="15" t="s">
        <v>72</v>
      </c>
    </row>
    <row r="35" ht="15.75" customHeight="1">
      <c r="A35" s="6" t="s">
        <v>59</v>
      </c>
      <c r="B35" s="6"/>
      <c r="C35" s="6"/>
      <c r="D35" s="6"/>
      <c r="E35" s="6"/>
      <c r="F35" s="6" t="str">
        <f t="shared" si="7"/>
        <v/>
      </c>
      <c r="H35" s="6" t="s">
        <v>59</v>
      </c>
      <c r="I35" s="6"/>
      <c r="J35" s="6"/>
      <c r="K35" s="6"/>
      <c r="L35" s="6"/>
      <c r="M35" s="6" t="str">
        <f t="shared" si="8"/>
        <v/>
      </c>
      <c r="O35" s="6" t="s">
        <v>59</v>
      </c>
      <c r="P35" s="6"/>
      <c r="Q35" s="6"/>
      <c r="R35" s="6"/>
      <c r="S35" s="6"/>
      <c r="T35" s="6" t="str">
        <f t="shared" si="9"/>
        <v/>
      </c>
      <c r="V35" s="6" t="s">
        <v>59</v>
      </c>
      <c r="W35" s="6"/>
      <c r="X35" s="6"/>
      <c r="Y35" s="6"/>
      <c r="Z35" s="6"/>
      <c r="AA35" s="6" t="str">
        <f t="shared" si="10"/>
        <v/>
      </c>
    </row>
    <row r="36" ht="15.75" customHeight="1">
      <c r="A36" s="6" t="s">
        <v>62</v>
      </c>
      <c r="B36" s="6"/>
      <c r="C36" s="6"/>
      <c r="D36" s="6"/>
      <c r="E36" s="6"/>
      <c r="F36" s="6" t="str">
        <f t="shared" si="7"/>
        <v/>
      </c>
      <c r="H36" s="6" t="s">
        <v>62</v>
      </c>
      <c r="I36" s="6"/>
      <c r="J36" s="6"/>
      <c r="K36" s="6"/>
      <c r="L36" s="6"/>
      <c r="M36" s="6" t="str">
        <f t="shared" si="8"/>
        <v/>
      </c>
      <c r="O36" s="6" t="s">
        <v>62</v>
      </c>
      <c r="P36" s="6"/>
      <c r="Q36" s="6"/>
      <c r="R36" s="6"/>
      <c r="S36" s="6"/>
      <c r="T36" s="6" t="str">
        <f t="shared" si="9"/>
        <v/>
      </c>
      <c r="V36" s="6" t="s">
        <v>62</v>
      </c>
      <c r="W36" s="6"/>
      <c r="X36" s="6"/>
      <c r="Y36" s="6"/>
      <c r="Z36" s="6"/>
      <c r="AA36" s="6" t="str">
        <f t="shared" si="10"/>
        <v/>
      </c>
      <c r="AC36" s="5" t="s">
        <v>9</v>
      </c>
    </row>
    <row r="37" ht="15.75" customHeight="1">
      <c r="A37" s="6" t="s">
        <v>65</v>
      </c>
      <c r="B37" s="6"/>
      <c r="C37" s="6"/>
      <c r="D37" s="6"/>
      <c r="E37" s="6"/>
      <c r="F37" s="6" t="str">
        <f t="shared" si="7"/>
        <v/>
      </c>
      <c r="H37" s="6" t="s">
        <v>65</v>
      </c>
      <c r="I37" s="6"/>
      <c r="J37" s="6"/>
      <c r="K37" s="6"/>
      <c r="L37" s="6"/>
      <c r="M37" s="6" t="str">
        <f t="shared" si="8"/>
        <v/>
      </c>
      <c r="O37" s="6" t="s">
        <v>65</v>
      </c>
      <c r="P37" s="6"/>
      <c r="Q37" s="6"/>
      <c r="R37" s="6"/>
      <c r="S37" s="6"/>
      <c r="T37" s="6" t="str">
        <f t="shared" si="9"/>
        <v/>
      </c>
      <c r="V37" s="6" t="s">
        <v>65</v>
      </c>
      <c r="W37" s="6"/>
      <c r="X37" s="6"/>
      <c r="Y37" s="6"/>
      <c r="Z37" s="6"/>
      <c r="AA37" s="6" t="str">
        <f t="shared" si="10"/>
        <v/>
      </c>
      <c r="AC37" s="5" t="s">
        <v>117</v>
      </c>
      <c r="AE37" s="5" t="s">
        <v>118</v>
      </c>
    </row>
    <row r="38" ht="15.75" customHeight="1">
      <c r="A38" s="6" t="s">
        <v>68</v>
      </c>
      <c r="B38" s="6"/>
      <c r="C38" s="6"/>
      <c r="D38" s="6"/>
      <c r="E38" s="6"/>
      <c r="F38" s="6" t="str">
        <f t="shared" si="7"/>
        <v/>
      </c>
      <c r="H38" s="6" t="s">
        <v>68</v>
      </c>
      <c r="I38" s="6"/>
      <c r="J38" s="6"/>
      <c r="K38" s="6"/>
      <c r="L38" s="6"/>
      <c r="M38" s="6" t="str">
        <f t="shared" si="8"/>
        <v/>
      </c>
      <c r="O38" s="6" t="s">
        <v>68</v>
      </c>
      <c r="P38" s="6"/>
      <c r="Q38" s="6"/>
      <c r="R38" s="6"/>
      <c r="S38" s="6"/>
      <c r="T38" s="6" t="str">
        <f t="shared" si="9"/>
        <v/>
      </c>
      <c r="V38" s="6" t="s">
        <v>68</v>
      </c>
      <c r="W38" s="6"/>
      <c r="X38" s="6"/>
      <c r="Y38" s="6"/>
      <c r="Z38" s="6"/>
      <c r="AA38" s="6" t="str">
        <f t="shared" si="10"/>
        <v/>
      </c>
      <c r="AC38" s="5" t="s">
        <v>119</v>
      </c>
      <c r="AE38" s="5" t="s">
        <v>120</v>
      </c>
    </row>
    <row r="39" ht="15.75" customHeight="1">
      <c r="A39" s="6" t="s">
        <v>70</v>
      </c>
      <c r="B39" s="6"/>
      <c r="C39" s="6"/>
      <c r="D39" s="6"/>
      <c r="E39" s="6"/>
      <c r="F39" s="6" t="str">
        <f t="shared" si="7"/>
        <v/>
      </c>
      <c r="H39" s="6" t="s">
        <v>70</v>
      </c>
      <c r="I39" s="6"/>
      <c r="J39" s="6"/>
      <c r="K39" s="6"/>
      <c r="L39" s="6"/>
      <c r="M39" s="6" t="str">
        <f t="shared" si="8"/>
        <v/>
      </c>
      <c r="O39" s="6" t="s">
        <v>70</v>
      </c>
      <c r="P39" s="6"/>
      <c r="Q39" s="6"/>
      <c r="R39" s="6"/>
      <c r="S39" s="6"/>
      <c r="T39" s="6" t="str">
        <f t="shared" si="9"/>
        <v/>
      </c>
      <c r="V39" s="6" t="s">
        <v>70</v>
      </c>
      <c r="W39" s="6"/>
      <c r="X39" s="6"/>
      <c r="Y39" s="6"/>
      <c r="Z39" s="6"/>
      <c r="AA39" s="6" t="str">
        <f t="shared" si="10"/>
        <v/>
      </c>
    </row>
    <row r="40" ht="15.75" customHeight="1">
      <c r="A40" s="5"/>
      <c r="B40" s="5"/>
      <c r="C40" s="5"/>
      <c r="D40" s="5"/>
      <c r="E40" s="5"/>
      <c r="F40" s="5"/>
      <c r="H40" s="5"/>
      <c r="I40" s="5"/>
      <c r="J40" s="5"/>
      <c r="K40" s="5"/>
      <c r="L40" s="5"/>
      <c r="M40" s="5"/>
      <c r="O40" s="5"/>
      <c r="P40" s="5"/>
      <c r="Q40" s="5"/>
      <c r="R40" s="5"/>
      <c r="S40" s="5"/>
      <c r="T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H41" s="5"/>
      <c r="I41" s="5"/>
      <c r="J41" s="5"/>
      <c r="K41" s="5"/>
      <c r="L41" s="5"/>
      <c r="M41" s="5"/>
      <c r="O41" s="5"/>
      <c r="P41" s="5"/>
      <c r="Q41" s="5"/>
      <c r="R41" s="5"/>
      <c r="S41" s="5"/>
      <c r="T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H42" s="5"/>
      <c r="I42" s="5"/>
      <c r="J42" s="5"/>
      <c r="K42" s="5"/>
      <c r="L42" s="5"/>
      <c r="M42" s="5"/>
      <c r="O42" s="5"/>
      <c r="P42" s="5"/>
      <c r="Q42" s="5"/>
      <c r="R42" s="5"/>
      <c r="S42" s="5"/>
      <c r="T42" s="5"/>
      <c r="V42" s="5"/>
      <c r="W42" s="5"/>
      <c r="X42" s="5"/>
      <c r="Y42" s="5"/>
      <c r="Z42" s="5"/>
      <c r="AA42" s="5"/>
    </row>
    <row r="43" ht="15.75" customHeight="1">
      <c r="A43" s="15" t="s">
        <v>72</v>
      </c>
      <c r="H43" s="15" t="s">
        <v>72</v>
      </c>
      <c r="O43" s="15" t="s">
        <v>72</v>
      </c>
      <c r="V43" s="15"/>
    </row>
    <row r="44" ht="15.75" customHeight="1">
      <c r="A44" s="5" t="s">
        <v>9</v>
      </c>
      <c r="H44" s="5" t="s">
        <v>9</v>
      </c>
      <c r="O44" s="5" t="s">
        <v>9</v>
      </c>
      <c r="V44" s="5"/>
    </row>
    <row r="45" ht="15.75" customHeight="1">
      <c r="A45" s="5" t="s">
        <v>121</v>
      </c>
      <c r="C45" s="5" t="s">
        <v>122</v>
      </c>
      <c r="H45" s="5" t="s">
        <v>123</v>
      </c>
      <c r="J45" s="5" t="s">
        <v>124</v>
      </c>
      <c r="O45" s="5" t="s">
        <v>125</v>
      </c>
      <c r="Q45" s="5" t="s">
        <v>126</v>
      </c>
      <c r="V45" s="5"/>
      <c r="X45" s="5"/>
    </row>
    <row r="46" ht="15.75" customHeight="1">
      <c r="A46" s="5" t="s">
        <v>127</v>
      </c>
      <c r="C46" s="5" t="s">
        <v>128</v>
      </c>
      <c r="H46" s="5" t="s">
        <v>129</v>
      </c>
      <c r="J46" s="5" t="s">
        <v>130</v>
      </c>
      <c r="O46" s="5" t="s">
        <v>131</v>
      </c>
      <c r="Q46" s="5" t="s">
        <v>132</v>
      </c>
      <c r="V46" s="5"/>
      <c r="X46" s="5"/>
    </row>
    <row r="47" ht="15.75" customHeight="1">
      <c r="A47" s="15" t="s">
        <v>3</v>
      </c>
      <c r="B47" s="16">
        <v>0.5416666666666666</v>
      </c>
      <c r="C47" s="16">
        <v>0.6666666666666666</v>
      </c>
      <c r="D47" s="16">
        <v>0.7916666666666666</v>
      </c>
      <c r="E47" s="16">
        <v>0.9166666666666666</v>
      </c>
      <c r="H47" s="15" t="s">
        <v>4</v>
      </c>
      <c r="I47" s="16">
        <v>0.5833333333333334</v>
      </c>
      <c r="J47" s="16">
        <v>0.6666666666666666</v>
      </c>
      <c r="K47" s="16">
        <v>0.875</v>
      </c>
      <c r="L47" s="16">
        <v>0.0</v>
      </c>
      <c r="O47" s="15" t="s">
        <v>95</v>
      </c>
      <c r="P47" s="16">
        <v>0.5833333333333334</v>
      </c>
      <c r="Q47" s="16">
        <v>0.7083333333333334</v>
      </c>
      <c r="R47" s="16">
        <v>0.8333333333333334</v>
      </c>
      <c r="S47" s="16">
        <v>0.9583333333333334</v>
      </c>
    </row>
    <row r="48" ht="15.75" customHeight="1">
      <c r="A48" s="4" t="s">
        <v>133</v>
      </c>
      <c r="B48" s="4" t="s">
        <v>134</v>
      </c>
      <c r="C48" s="4" t="s">
        <v>135</v>
      </c>
      <c r="D48" s="4" t="s">
        <v>136</v>
      </c>
      <c r="E48" s="4" t="s">
        <v>137</v>
      </c>
      <c r="F48" s="4" t="s">
        <v>8</v>
      </c>
      <c r="H48" s="4" t="s">
        <v>138</v>
      </c>
      <c r="I48" s="4" t="s">
        <v>139</v>
      </c>
      <c r="J48" s="4" t="s">
        <v>140</v>
      </c>
      <c r="K48" s="4" t="s">
        <v>141</v>
      </c>
      <c r="L48" s="4" t="s">
        <v>142</v>
      </c>
      <c r="M48" s="4" t="s">
        <v>8</v>
      </c>
      <c r="O48" s="4" t="s">
        <v>143</v>
      </c>
      <c r="P48" s="4" t="s">
        <v>144</v>
      </c>
      <c r="Q48" s="4" t="s">
        <v>145</v>
      </c>
      <c r="R48" s="4" t="s">
        <v>146</v>
      </c>
      <c r="S48" s="4" t="s">
        <v>147</v>
      </c>
      <c r="T48" s="4" t="s">
        <v>8</v>
      </c>
    </row>
    <row r="49" ht="15.75" customHeight="1">
      <c r="A49" s="6" t="s">
        <v>38</v>
      </c>
      <c r="B49" s="6"/>
      <c r="C49" s="6"/>
      <c r="D49" s="6"/>
      <c r="E49" s="6"/>
      <c r="F49" s="6" t="str">
        <f t="shared" ref="F49:F59" si="11">IF(COUNTA(B49:E49)=0,"",SUM(IF(OR(B49="",B$60=""),0,IF(B49=B$60,5,IFERROR(IF(SIGN(VALUE(LEFT(B49,FIND("x",B49)-1))-VALUE(MID(B49,FIND("x",B49)+1,99)))=SIGN(VALUE(LEFT(B$60,FIND("x",B$60)-1))-VALUE(MID(B$60,FIND("x",B$60)+1,99))),IF(VALUE(LEFT(B$60,FIND("x",B$60)-1))=VALUE(MID(B$60,FIND("x",B$60)+1,99)),1,2),0),0))),IF(OR(C49="",C$60=""),0,IF(C49=C$60,5,IFERROR(IF(SIGN(VALUE(LEFT(C49,FIND("x",C49)-1))-VALUE(MID(C49,FIND("x",C49)+1,99)))=SIGN(VALUE(LEFT(C$60,FIND("x",C$60)-1))-VALUE(MID(C$60,FIND("x",C$60)+1,99))),IF(VALUE(LEFT(C$60,FIND("x",C$60)-1))=VALUE(MID(C$60,FIND("x",C$60)+1,99)),1,2),0),0))),IF(OR(D49="",D$60=""),0,IF(D49=D$60,5,IFERROR(IF(SIGN(VALUE(LEFT(D49,FIND("x",D49)-1))-VALUE(MID(D49,FIND("x",D49)+1,99)))=SIGN(VALUE(LEFT(D$60,FIND("x",D$60)-1))-VALUE(MID(D$60,FIND("x",D$60)+1,99))),IF(VALUE(LEFT(D$60,FIND("x",D$60)-1))=VALUE(MID(D$60,FIND("x",D$60)+1,99)),1,2),0),0))),IF(OR(E49="",E$60=""),0,IF(E49=E$60,5,IFERROR(IF(SIGN(VALUE(LEFT(E49,FIND("x",E49)-1))-VALUE(MID(E49,FIND("x",E49)+1,99)))=SIGN(VALUE(LEFT(E$60,FIND("x",E$60)-1))-VALUE(MID(E$60,FIND("x",E$60)+1,99))),IF(VALUE(LEFT(E$60,FIND("x",E$60)-1))=VALUE(MID(E$60,FIND("x",E$60)+1,99)),1,2),0),0))))&amp;" ("&amp;SUM(IF(AND(B49&lt;&gt;"",B49=B$60),1,0),IF(AND(C49&lt;&gt;"",C49=C$60),1,0),IF(AND(D49&lt;&gt;"",D49=D$60),1,0),IF(AND(E49&lt;&gt;"",E49=E$60),1,0))&amp;")")</f>
        <v/>
      </c>
      <c r="H49" s="6" t="s">
        <v>38</v>
      </c>
      <c r="I49" s="6"/>
      <c r="J49" s="6"/>
      <c r="K49" s="6"/>
      <c r="L49" s="6"/>
      <c r="M49" s="6" t="str">
        <f t="shared" ref="M49:M59" si="12">IF(COUNTA(I49:L49)=0,"",SUM(IF(OR(I49="",I$60=""),0,IF(I49=I$60,5,IFERROR(IF(SIGN(VALUE(LEFT(I49,FIND("x",I49)-1))-VALUE(MID(I49,FIND("x",I49)+1,99)))=SIGN(VALUE(LEFT(I$60,FIND("x",I$60)-1))-VALUE(MID(I$60,FIND("x",I$60)+1,99))),IF(VALUE(LEFT(I$60,FIND("x",I$60)-1))=VALUE(MID(I$60,FIND("x",I$60)+1,99)),1,2),0),0))),IF(OR(J49="",J$60=""),0,IF(J49=J$60,5,IFERROR(IF(SIGN(VALUE(LEFT(J49,FIND("x",J49)-1))-VALUE(MID(J49,FIND("x",J49)+1,99)))=SIGN(VALUE(LEFT(J$60,FIND("x",J$60)-1))-VALUE(MID(J$60,FIND("x",J$60)+1,99))),IF(VALUE(LEFT(J$60,FIND("x",J$60)-1))=VALUE(MID(J$60,FIND("x",J$60)+1,99)),1,2),0),0))),IF(OR(K49="",K$60=""),0,IF(K49=K$60,5,IFERROR(IF(SIGN(VALUE(LEFT(K49,FIND("x",K49)-1))-VALUE(MID(K49,FIND("x",K49)+1,99)))=SIGN(VALUE(LEFT(K$60,FIND("x",K$60)-1))-VALUE(MID(K$60,FIND("x",K$60)+1,99))),IF(VALUE(LEFT(K$60,FIND("x",K$60)-1))=VALUE(MID(K$60,FIND("x",K$60)+1,99)),1,2),0),0))),IF(OR(L49="",L$60=""),0,IF(L49=L$60,5,IFERROR(IF(SIGN(VALUE(LEFT(L49,FIND("x",L49)-1))-VALUE(MID(L49,FIND("x",L49)+1,99)))=SIGN(VALUE(LEFT(L$60,FIND("x",L$60)-1))-VALUE(MID(L$60,FIND("x",L$60)+1,99))),IF(VALUE(LEFT(L$60,FIND("x",L$60)-1))=VALUE(MID(L$60,FIND("x",L$60)+1,99)),1,2),0),0))))&amp;" ("&amp;SUM(IF(AND(I49&lt;&gt;"",I49=I$60),1,0),IF(AND(J49&lt;&gt;"",J49=J$60),1,0),IF(AND(K49&lt;&gt;"",K49=K$60),1,0),IF(AND(L49&lt;&gt;"",L49=L$60),1,0))&amp;")")</f>
        <v/>
      </c>
      <c r="O49" s="6" t="s">
        <v>38</v>
      </c>
      <c r="P49" s="6"/>
      <c r="Q49" s="6"/>
      <c r="R49" s="6"/>
      <c r="S49" s="6"/>
      <c r="T49" s="6" t="str">
        <f t="shared" ref="T49:T59" si="13">IF(COUNTA(P49:S49)=0,"",SUM(IF(OR(P49="",P$60=""),0,IF(P49=P$60,5,IFERROR(IF(SIGN(VALUE(LEFT(P49,FIND("x",P49)-1))-VALUE(MID(P49,FIND("x",P49)+1,99)))=SIGN(VALUE(LEFT(P$60,FIND("x",P$60)-1))-VALUE(MID(P$60,FIND("x",P$60)+1,99))),IF(VALUE(LEFT(P$60,FIND("x",P$60)-1))=VALUE(MID(P$60,FIND("x",P$60)+1,99)),1,2),0),0))),IF(OR(Q49="",Q$60=""),0,IF(Q49=Q$60,5,IFERROR(IF(SIGN(VALUE(LEFT(Q49,FIND("x",Q49)-1))-VALUE(MID(Q49,FIND("x",Q49)+1,99)))=SIGN(VALUE(LEFT(Q$60,FIND("x",Q$60)-1))-VALUE(MID(Q$60,FIND("x",Q$60)+1,99))),IF(VALUE(LEFT(Q$60,FIND("x",Q$60)-1))=VALUE(MID(Q$60,FIND("x",Q$60)+1,99)),1,2),0),0))),IF(OR(R49="",R$60=""),0,IF(R49=R$60,5,IFERROR(IF(SIGN(VALUE(LEFT(R49,FIND("x",R49)-1))-VALUE(MID(R49,FIND("x",R49)+1,99)))=SIGN(VALUE(LEFT(R$60,FIND("x",R$60)-1))-VALUE(MID(R$60,FIND("x",R$60)+1,99))),IF(VALUE(LEFT(R$60,FIND("x",R$60)-1))=VALUE(MID(R$60,FIND("x",R$60)+1,99)),1,2),0),0))),IF(OR(S49="",S$60=""),0,IF(S49=S$60,5,IFERROR(IF(SIGN(VALUE(LEFT(S49,FIND("x",S49)-1))-VALUE(MID(S49,FIND("x",S49)+1,99)))=SIGN(VALUE(LEFT(S$60,FIND("x",S$60)-1))-VALUE(MID(S$60,FIND("x",S$60)+1,99))),IF(VALUE(LEFT(S$60,FIND("x",S$60)-1))=VALUE(MID(S$60,FIND("x",S$60)+1,99)),1,2),0),0))))&amp;" ("&amp;SUM(IF(AND(P49&lt;&gt;"",P49=P$60),1,0),IF(AND(Q49&lt;&gt;"",Q49=Q$60),1,0),IF(AND(R49&lt;&gt;"",R49=R$60),1,0),IF(AND(S49&lt;&gt;"",S49=S$60),1,0))&amp;")")</f>
        <v/>
      </c>
    </row>
    <row r="50" ht="15.75" customHeight="1">
      <c r="A50" s="6" t="s">
        <v>45</v>
      </c>
      <c r="B50" s="6"/>
      <c r="C50" s="6"/>
      <c r="D50" s="6"/>
      <c r="E50" s="6"/>
      <c r="F50" s="6" t="str">
        <f t="shared" si="11"/>
        <v/>
      </c>
      <c r="H50" s="6" t="s">
        <v>45</v>
      </c>
      <c r="I50" s="6"/>
      <c r="J50" s="6"/>
      <c r="K50" s="6"/>
      <c r="L50" s="6"/>
      <c r="M50" s="6" t="str">
        <f t="shared" si="12"/>
        <v/>
      </c>
      <c r="O50" s="6" t="s">
        <v>45</v>
      </c>
      <c r="P50" s="6"/>
      <c r="Q50" s="6"/>
      <c r="R50" s="6"/>
      <c r="S50" s="6"/>
      <c r="T50" s="6" t="str">
        <f t="shared" si="13"/>
        <v/>
      </c>
    </row>
    <row r="51" ht="15.75" customHeight="1">
      <c r="A51" s="6" t="s">
        <v>48</v>
      </c>
      <c r="B51" s="6"/>
      <c r="C51" s="6"/>
      <c r="D51" s="6"/>
      <c r="E51" s="6"/>
      <c r="F51" s="6" t="str">
        <f t="shared" si="11"/>
        <v/>
      </c>
      <c r="H51" s="6" t="s">
        <v>48</v>
      </c>
      <c r="I51" s="6"/>
      <c r="J51" s="6"/>
      <c r="K51" s="6"/>
      <c r="L51" s="6"/>
      <c r="M51" s="6" t="str">
        <f t="shared" si="12"/>
        <v/>
      </c>
      <c r="O51" s="6" t="s">
        <v>48</v>
      </c>
      <c r="P51" s="6"/>
      <c r="Q51" s="6"/>
      <c r="R51" s="6"/>
      <c r="S51" s="6"/>
      <c r="T51" s="6" t="str">
        <f t="shared" si="13"/>
        <v/>
      </c>
    </row>
    <row r="52" ht="15.75" customHeight="1">
      <c r="A52" s="6" t="s">
        <v>51</v>
      </c>
      <c r="B52" s="6"/>
      <c r="C52" s="6"/>
      <c r="D52" s="6"/>
      <c r="E52" s="6"/>
      <c r="F52" s="6" t="str">
        <f t="shared" si="11"/>
        <v/>
      </c>
      <c r="H52" s="6" t="s">
        <v>51</v>
      </c>
      <c r="I52" s="6"/>
      <c r="J52" s="6"/>
      <c r="K52" s="6"/>
      <c r="L52" s="6"/>
      <c r="M52" s="6" t="str">
        <f t="shared" si="12"/>
        <v/>
      </c>
      <c r="O52" s="6" t="s">
        <v>51</v>
      </c>
      <c r="P52" s="6"/>
      <c r="Q52" s="6"/>
      <c r="R52" s="6"/>
      <c r="S52" s="6"/>
      <c r="T52" s="6" t="str">
        <f t="shared" si="13"/>
        <v/>
      </c>
    </row>
    <row r="53" ht="15.75" customHeight="1">
      <c r="A53" s="6" t="s">
        <v>54</v>
      </c>
      <c r="B53" s="6"/>
      <c r="C53" s="6"/>
      <c r="D53" s="6"/>
      <c r="E53" s="6"/>
      <c r="F53" s="6" t="str">
        <f t="shared" si="11"/>
        <v/>
      </c>
      <c r="H53" s="6" t="s">
        <v>54</v>
      </c>
      <c r="I53" s="6"/>
      <c r="J53" s="6"/>
      <c r="K53" s="6"/>
      <c r="L53" s="6"/>
      <c r="M53" s="6" t="str">
        <f t="shared" si="12"/>
        <v/>
      </c>
      <c r="O53" s="6" t="s">
        <v>54</v>
      </c>
      <c r="P53" s="6"/>
      <c r="Q53" s="6"/>
      <c r="R53" s="6"/>
      <c r="S53" s="6"/>
      <c r="T53" s="6" t="str">
        <f t="shared" si="13"/>
        <v/>
      </c>
    </row>
    <row r="54" ht="15.75" customHeight="1">
      <c r="A54" s="6" t="s">
        <v>57</v>
      </c>
      <c r="B54" s="6"/>
      <c r="C54" s="6"/>
      <c r="D54" s="6"/>
      <c r="E54" s="6"/>
      <c r="F54" s="6" t="str">
        <f t="shared" si="11"/>
        <v/>
      </c>
      <c r="H54" s="6" t="s">
        <v>57</v>
      </c>
      <c r="I54" s="6"/>
      <c r="J54" s="6"/>
      <c r="K54" s="6"/>
      <c r="L54" s="6"/>
      <c r="M54" s="6" t="str">
        <f t="shared" si="12"/>
        <v/>
      </c>
      <c r="O54" s="6" t="s">
        <v>57</v>
      </c>
      <c r="P54" s="6"/>
      <c r="Q54" s="6"/>
      <c r="R54" s="6"/>
      <c r="S54" s="6"/>
      <c r="T54" s="6" t="str">
        <f t="shared" si="13"/>
        <v/>
      </c>
    </row>
    <row r="55" ht="15.75" customHeight="1">
      <c r="A55" s="6" t="s">
        <v>59</v>
      </c>
      <c r="B55" s="6"/>
      <c r="C55" s="6"/>
      <c r="D55" s="6"/>
      <c r="E55" s="6"/>
      <c r="F55" s="6" t="str">
        <f t="shared" si="11"/>
        <v/>
      </c>
      <c r="H55" s="6" t="s">
        <v>59</v>
      </c>
      <c r="I55" s="6"/>
      <c r="J55" s="6"/>
      <c r="K55" s="6"/>
      <c r="L55" s="6"/>
      <c r="M55" s="6" t="str">
        <f t="shared" si="12"/>
        <v/>
      </c>
      <c r="O55" s="6" t="s">
        <v>59</v>
      </c>
      <c r="P55" s="6"/>
      <c r="Q55" s="6"/>
      <c r="R55" s="6"/>
      <c r="S55" s="6"/>
      <c r="T55" s="6" t="str">
        <f t="shared" si="13"/>
        <v/>
      </c>
    </row>
    <row r="56" ht="15.75" customHeight="1">
      <c r="A56" s="6" t="s">
        <v>62</v>
      </c>
      <c r="B56" s="6"/>
      <c r="C56" s="6"/>
      <c r="D56" s="6"/>
      <c r="E56" s="6"/>
      <c r="F56" s="6" t="str">
        <f t="shared" si="11"/>
        <v/>
      </c>
      <c r="H56" s="6" t="s">
        <v>62</v>
      </c>
      <c r="I56" s="6"/>
      <c r="J56" s="6"/>
      <c r="K56" s="6"/>
      <c r="L56" s="6"/>
      <c r="M56" s="6" t="str">
        <f t="shared" si="12"/>
        <v/>
      </c>
      <c r="O56" s="6" t="s">
        <v>62</v>
      </c>
      <c r="P56" s="6"/>
      <c r="Q56" s="6"/>
      <c r="R56" s="6"/>
      <c r="S56" s="6"/>
      <c r="T56" s="6" t="str">
        <f t="shared" si="13"/>
        <v/>
      </c>
    </row>
    <row r="57" ht="15.75" customHeight="1">
      <c r="A57" s="6" t="s">
        <v>65</v>
      </c>
      <c r="B57" s="6"/>
      <c r="C57" s="6"/>
      <c r="D57" s="6"/>
      <c r="E57" s="6"/>
      <c r="F57" s="6" t="str">
        <f t="shared" si="11"/>
        <v/>
      </c>
      <c r="H57" s="6" t="s">
        <v>65</v>
      </c>
      <c r="I57" s="6"/>
      <c r="J57" s="6"/>
      <c r="K57" s="6"/>
      <c r="L57" s="6"/>
      <c r="M57" s="6" t="str">
        <f t="shared" si="12"/>
        <v/>
      </c>
      <c r="O57" s="6" t="s">
        <v>65</v>
      </c>
      <c r="P57" s="6"/>
      <c r="Q57" s="6"/>
      <c r="R57" s="6"/>
      <c r="S57" s="6"/>
      <c r="T57" s="6" t="str">
        <f t="shared" si="13"/>
        <v/>
      </c>
    </row>
    <row r="58" ht="15.75" customHeight="1">
      <c r="A58" s="6" t="s">
        <v>68</v>
      </c>
      <c r="B58" s="6"/>
      <c r="C58" s="6"/>
      <c r="D58" s="6"/>
      <c r="E58" s="6"/>
      <c r="F58" s="6" t="str">
        <f t="shared" si="11"/>
        <v/>
      </c>
      <c r="H58" s="6" t="s">
        <v>68</v>
      </c>
      <c r="I58" s="6"/>
      <c r="J58" s="6"/>
      <c r="K58" s="6"/>
      <c r="L58" s="6"/>
      <c r="M58" s="6" t="str">
        <f t="shared" si="12"/>
        <v/>
      </c>
      <c r="O58" s="6" t="s">
        <v>68</v>
      </c>
      <c r="P58" s="6"/>
      <c r="Q58" s="6"/>
      <c r="R58" s="6"/>
      <c r="S58" s="6"/>
      <c r="T58" s="6" t="str">
        <f t="shared" si="13"/>
        <v/>
      </c>
    </row>
    <row r="59" ht="15.75" customHeight="1">
      <c r="A59" s="6" t="s">
        <v>70</v>
      </c>
      <c r="B59" s="6"/>
      <c r="C59" s="6"/>
      <c r="D59" s="6"/>
      <c r="E59" s="6"/>
      <c r="F59" s="6" t="str">
        <f t="shared" si="11"/>
        <v/>
      </c>
      <c r="H59" s="6" t="s">
        <v>70</v>
      </c>
      <c r="I59" s="6"/>
      <c r="J59" s="6"/>
      <c r="K59" s="6"/>
      <c r="L59" s="6"/>
      <c r="M59" s="6" t="str">
        <f t="shared" si="12"/>
        <v/>
      </c>
      <c r="O59" s="6" t="s">
        <v>70</v>
      </c>
      <c r="P59" s="6"/>
      <c r="Q59" s="6"/>
      <c r="R59" s="6"/>
      <c r="S59" s="6"/>
      <c r="T59" s="6" t="str">
        <f t="shared" si="13"/>
        <v/>
      </c>
    </row>
    <row r="60" ht="15.75" customHeight="1">
      <c r="A60" s="15" t="s">
        <v>72</v>
      </c>
      <c r="H60" s="15" t="s">
        <v>72</v>
      </c>
      <c r="O60" s="5" t="s">
        <v>72</v>
      </c>
    </row>
    <row r="61" ht="15.75" customHeight="1"/>
    <row r="62" ht="15.75" customHeight="1">
      <c r="A62" s="5" t="s">
        <v>148</v>
      </c>
      <c r="C62" s="5" t="s">
        <v>149</v>
      </c>
      <c r="H62" s="5" t="s">
        <v>150</v>
      </c>
      <c r="J62" s="5" t="s">
        <v>151</v>
      </c>
      <c r="O62" s="5" t="s">
        <v>152</v>
      </c>
      <c r="Q62" s="5" t="s">
        <v>124</v>
      </c>
    </row>
    <row r="63" ht="15.75" customHeight="1">
      <c r="A63" s="5" t="s">
        <v>153</v>
      </c>
      <c r="C63" s="5" t="s">
        <v>154</v>
      </c>
      <c r="H63" s="5" t="s">
        <v>155</v>
      </c>
      <c r="J63" s="5" t="s">
        <v>156</v>
      </c>
      <c r="O63" s="5" t="s">
        <v>157</v>
      </c>
      <c r="Q63" s="5" t="s">
        <v>158</v>
      </c>
    </row>
    <row r="64" ht="15.75" customHeight="1">
      <c r="A64" s="1" t="s">
        <v>96</v>
      </c>
      <c r="B64" s="2">
        <v>0.6666666666666666</v>
      </c>
      <c r="C64" s="2">
        <v>0.6666666666666666</v>
      </c>
      <c r="D64" s="2">
        <v>0.7916666666666666</v>
      </c>
      <c r="E64" s="2">
        <v>0.7916666666666666</v>
      </c>
      <c r="F64" s="2">
        <v>0.9166666666666666</v>
      </c>
      <c r="G64" s="2">
        <v>0.9166666666666666</v>
      </c>
      <c r="H64" s="3"/>
      <c r="I64" s="3"/>
      <c r="J64" s="1" t="s">
        <v>0</v>
      </c>
      <c r="K64" s="2">
        <v>0.7083333333333334</v>
      </c>
      <c r="L64" s="2">
        <v>0.7083333333333334</v>
      </c>
      <c r="M64" s="2">
        <v>0.8333333333333334</v>
      </c>
      <c r="N64" s="2">
        <v>0.8333333333333334</v>
      </c>
      <c r="O64" s="2">
        <v>0.9583333333333334</v>
      </c>
      <c r="P64" s="2">
        <v>0.9583333333333334</v>
      </c>
      <c r="Q64" s="3"/>
      <c r="R64" s="3"/>
      <c r="S64" s="1" t="s">
        <v>1</v>
      </c>
      <c r="T64" s="2">
        <v>0.6666666666666666</v>
      </c>
      <c r="U64" s="2">
        <v>0.6666666666666666</v>
      </c>
      <c r="V64" s="2">
        <v>0.875</v>
      </c>
      <c r="W64" s="2">
        <v>0.875</v>
      </c>
      <c r="X64" s="2">
        <v>0.0</v>
      </c>
      <c r="Y64" s="2">
        <v>0.0</v>
      </c>
      <c r="Z64" s="3"/>
      <c r="AA64" s="3"/>
      <c r="AB64" s="3"/>
      <c r="AC64" s="3"/>
      <c r="AD64" s="3"/>
      <c r="AE64" s="3"/>
      <c r="AF64" s="3"/>
      <c r="AG64" s="3"/>
      <c r="AH64" s="3"/>
    </row>
    <row r="65" ht="15.75" customHeight="1">
      <c r="A65" s="4" t="s">
        <v>159</v>
      </c>
      <c r="B65" s="4" t="s">
        <v>160</v>
      </c>
      <c r="C65" s="4" t="s">
        <v>161</v>
      </c>
      <c r="D65" s="4" t="s">
        <v>162</v>
      </c>
      <c r="E65" s="4" t="s">
        <v>163</v>
      </c>
      <c r="F65" s="4" t="s">
        <v>164</v>
      </c>
      <c r="G65" s="4" t="s">
        <v>165</v>
      </c>
      <c r="H65" s="4" t="s">
        <v>8</v>
      </c>
      <c r="J65" s="4" t="s">
        <v>166</v>
      </c>
      <c r="K65" s="4" t="s">
        <v>167</v>
      </c>
      <c r="L65" s="4" t="s">
        <v>168</v>
      </c>
      <c r="M65" s="4" t="s">
        <v>169</v>
      </c>
      <c r="N65" s="4" t="s">
        <v>170</v>
      </c>
      <c r="O65" s="4" t="s">
        <v>171</v>
      </c>
      <c r="P65" s="4" t="s">
        <v>172</v>
      </c>
      <c r="Q65" s="4" t="s">
        <v>8</v>
      </c>
      <c r="S65" s="4" t="s">
        <v>173</v>
      </c>
      <c r="T65" s="4" t="s">
        <v>174</v>
      </c>
      <c r="U65" s="4" t="s">
        <v>175</v>
      </c>
      <c r="V65" s="4" t="s">
        <v>176</v>
      </c>
      <c r="W65" s="4" t="s">
        <v>177</v>
      </c>
      <c r="X65" s="4" t="s">
        <v>178</v>
      </c>
      <c r="Y65" s="4" t="s">
        <v>179</v>
      </c>
      <c r="Z65" s="4" t="s">
        <v>8</v>
      </c>
    </row>
    <row r="66" ht="15.75" customHeight="1">
      <c r="A66" s="6" t="s">
        <v>38</v>
      </c>
      <c r="B66" s="6"/>
      <c r="C66" s="6"/>
      <c r="D66" s="6"/>
      <c r="E66" s="6"/>
      <c r="F66" s="6"/>
      <c r="G66" s="6"/>
      <c r="H66" s="6" t="str">
        <f t="shared" ref="H66:H76" si="14">IF(COUNTA(B66:G66)=0,"",SUM(IF(OR(B66="",B$77=""),0,IF(B66=B$77,5,IFERROR(IF(SIGN(VALUE(LEFT(B66,FIND("x",B66)-1))-VALUE(MID(B66,FIND("x",B66)+1,99)))=SIGN(VALUE(LEFT(B$77,FIND("x",B$77)-1))-VALUE(MID(B$77,FIND("x",B$77)+1,99))),IF(VALUE(LEFT(B$77,FIND("x",B$77)-1))=VALUE(MID(B$77,FIND("x",B$77)+1,99)),1,2),0),0))),IF(OR(C66="",C$77=""),0,IF(C66=C$77,5,IFERROR(IF(SIGN(VALUE(LEFT(C66,FIND("x",C66)-1))-VALUE(MID(C66,FIND("x",C66)+1,99)))=SIGN(VALUE(LEFT(C$77,FIND("x",C$77)-1))-VALUE(MID(C$77,FIND("x",C$77)+1,99))),IF(VALUE(LEFT(C$77,FIND("x",C$77)-1))=VALUE(MID(C$77,FIND("x",C$77)+1,99)),1,2),0),0))),IF(OR(D66="",D$77=""),0,IF(D66=D$77,5,IFERROR(IF(SIGN(VALUE(LEFT(D66,FIND("x",D66)-1))-VALUE(MID(D66,FIND("x",D66)+1,99)))=SIGN(VALUE(LEFT(D$77,FIND("x",D$77)-1))-VALUE(MID(D$77,FIND("x",D$77)+1,99))),IF(VALUE(LEFT(D$77,FIND("x",D$77)-1))=VALUE(MID(D$77,FIND("x",D$77)+1,99)),1,2),0),0))),IF(OR(E66="",E$77=""),0,IF(E66=E$77,5,IFERROR(IF(SIGN(VALUE(LEFT(E66,FIND("x",E66)-1))-VALUE(MID(E66,FIND("x",E66)+1,99)))=SIGN(VALUE(LEFT(E$77,FIND("x",E$77)-1))-VALUE(MID(E$77,FIND("x",E$77)+1,99))),IF(VALUE(LEFT(E$77,FIND("x",E$77)-1))=VALUE(MID(E$77,FIND("x",E$77)+1,99)),1,2),0),0))),IF(OR(F66="",F$77=""),0,IF(F66=F$77,5,IFERROR(IF(SIGN(VALUE(LEFT(F66,FIND("x",F66)-1))-VALUE(MID(F66,FIND("x",F66)+1,99)))=SIGN(VALUE(LEFT(F$77,FIND("x",F$77)-1))-VALUE(MID(F$77,FIND("x",F$77)+1,99))),IF(VALUE(LEFT(F$77,FIND("x",F$77)-1))=VALUE(MID(F$77,FIND("x",F$77)+1,99)),1,2),0),0))),IF(OR(G66="",G$77=""),0,IF(G66=G$77,5,IFERROR(IF(SIGN(VALUE(LEFT(G66,FIND("x",G66)-1))-VALUE(MID(G66,FIND("x",G66)+1,99)))=SIGN(VALUE(LEFT(G$77,FIND("x",G$77)-1))-VALUE(MID(G$77,FIND("x",G$77)+1,99))),IF(VALUE(LEFT(G$77,FIND("x",G$77)-1))=VALUE(MID(G$77,FIND("x",G$77)+1,99)),1,2),0),0))))&amp;" ("&amp;SUM(IF(AND(B66&lt;&gt;"",B66=B$77),1,0),IF(AND(C66&lt;&gt;"",C66=C$77),1,0),IF(AND(D66&lt;&gt;"",D66=D$77),1,0),IF(AND(E66&lt;&gt;"",E66=E$77),1,0),IF(AND(F66&lt;&gt;"",F66=F$77),1,0),IF(AND(G66&lt;&gt;"",G66=G$77),1,0))&amp;")")</f>
        <v/>
      </c>
      <c r="J66" s="6" t="s">
        <v>38</v>
      </c>
      <c r="K66" s="6"/>
      <c r="L66" s="6"/>
      <c r="M66" s="6"/>
      <c r="N66" s="6"/>
      <c r="O66" s="6"/>
      <c r="P66" s="6"/>
      <c r="Q66" s="6" t="str">
        <f t="shared" ref="Q66:Q76" si="15">IF(COUNTA(K66:P66)=0,"",SUM(IF(OR(K66="",K$77=""),0,IF(K66=K$77,5,IFERROR(IF(SIGN(VALUE(LEFT(K66,FIND("x",K66)-1))-VALUE(MID(K66,FIND("x",K66)+1,99)))=SIGN(VALUE(LEFT(K$77,FIND("x",K$77)-1))-VALUE(MID(K$77,FIND("x",K$77)+1,99))),IF(VALUE(LEFT(K$77,FIND("x",K$77)-1))=VALUE(MID(K$77,FIND("x",K$77)+1,99)),1,2),0),0))),IF(OR(L66="",L$77=""),0,IF(L66=L$77,5,IFERROR(IF(SIGN(VALUE(LEFT(L66,FIND("x",L66)-1))-VALUE(MID(L66,FIND("x",L66)+1,99)))=SIGN(VALUE(LEFT(L$77,FIND("x",L$77)-1))-VALUE(MID(L$77,FIND("x",L$77)+1,99))),IF(VALUE(LEFT(L$77,FIND("x",L$77)-1))=VALUE(MID(L$77,FIND("x",L$77)+1,99)),1,2),0),0))),IF(OR(M66="",M$77=""),0,IF(M66=M$77,5,IFERROR(IF(SIGN(VALUE(LEFT(M66,FIND("x",M66)-1))-VALUE(MID(M66,FIND("x",M66)+1,99)))=SIGN(VALUE(LEFT(M$77,FIND("x",M$77)-1))-VALUE(MID(M$77,FIND("x",M$77)+1,99))),IF(VALUE(LEFT(M$77,FIND("x",M$77)-1))=VALUE(MID(M$77,FIND("x",M$77)+1,99)),1,2),0),0))),IF(OR(N66="",N$77=""),0,IF(N66=N$77,5,IFERROR(IF(SIGN(VALUE(LEFT(N66,FIND("x",N66)-1))-VALUE(MID(N66,FIND("x",N66)+1,99)))=SIGN(VALUE(LEFT(N$77,FIND("x",N$77)-1))-VALUE(MID(N$77,FIND("x",N$77)+1,99))),IF(VALUE(LEFT(N$77,FIND("x",N$77)-1))=VALUE(MID(N$77,FIND("x",N$77)+1,99)),1,2),0),0))),IF(OR(O66="",O$77=""),0,IF(O66=O$77,5,IFERROR(IF(SIGN(VALUE(LEFT(O66,FIND("x",O66)-1))-VALUE(MID(O66,FIND("x",O66)+1,99)))=SIGN(VALUE(LEFT(O$77,FIND("x",O$77)-1))-VALUE(MID(O$77,FIND("x",O$77)+1,99))),IF(VALUE(LEFT(O$77,FIND("x",O$77)-1))=VALUE(MID(O$77,FIND("x",O$77)+1,99)),1,2),0),0))),IF(OR(P66="",P$77=""),0,IF(P66=P$77,5,IFERROR(IF(SIGN(VALUE(LEFT(P66,FIND("x",P66)-1))-VALUE(MID(P66,FIND("x",P66)+1,99)))=SIGN(VALUE(LEFT(P$77,FIND("x",P$77)-1))-VALUE(MID(P$77,FIND("x",P$77)+1,99))),IF(VALUE(LEFT(P$77,FIND("x",P$77)-1))=VALUE(MID(P$77,FIND("x",P$77)+1,99)),1,2),0),0))))&amp;" ("&amp;SUM(IF(AND(K66&lt;&gt;"",K66=K$77),1,0),IF(AND(L66&lt;&gt;"",L66=L$77),1,0),IF(AND(M66&lt;&gt;"",M66=M$77),1,0),IF(AND(N66&lt;&gt;"",N66=N$77),1,0),IF(AND(O66&lt;&gt;"",O66=O$77),1,0),IF(AND(P66&lt;&gt;"",P66=P$77),1,0))&amp;")")</f>
        <v/>
      </c>
      <c r="S66" s="6" t="s">
        <v>38</v>
      </c>
      <c r="T66" s="6"/>
      <c r="U66" s="6"/>
      <c r="V66" s="6"/>
      <c r="W66" s="6"/>
      <c r="X66" s="6"/>
      <c r="Y66" s="6"/>
      <c r="Z66" s="6" t="str">
        <f t="shared" ref="Z66:Z76" si="16">IF(COUNTA(T66:Y66)=0,"",SUM(IF(OR(T66="",T$77=""),0,IF(T66=T$77,5,IFERROR(IF(SIGN(VALUE(LEFT(T66,FIND("x",T66)-1))-VALUE(MID(T66,FIND("x",T66)+1,99)))=SIGN(VALUE(LEFT(T$77,FIND("x",T$77)-1))-VALUE(MID(T$77,FIND("x",T$77)+1,99))),IF(VALUE(LEFT(T$77,FIND("x",T$77)-1))=VALUE(MID(T$77,FIND("x",T$77)+1,99)),1,2),0),0))),IF(OR(U66="",U$77=""),0,IF(U66=U$77,5,IFERROR(IF(SIGN(VALUE(LEFT(U66,FIND("x",U66)-1))-VALUE(MID(U66,FIND("x",U66)+1,99)))=SIGN(VALUE(LEFT(U$77,FIND("x",U$77)-1))-VALUE(MID(U$77,FIND("x",U$77)+1,99))),IF(VALUE(LEFT(U$77,FIND("x",U$77)-1))=VALUE(MID(U$77,FIND("x",U$77)+1,99)),1,2),0),0))),IF(OR(V66="",V$77=""),0,IF(V66=V$77,5,IFERROR(IF(SIGN(VALUE(LEFT(V66,FIND("x",V66)-1))-VALUE(MID(V66,FIND("x",V66)+1,99)))=SIGN(VALUE(LEFT(V$77,FIND("x",V$77)-1))-VALUE(MID(V$77,FIND("x",V$77)+1,99))),IF(VALUE(LEFT(V$77,FIND("x",V$77)-1))=VALUE(MID(V$77,FIND("x",V$77)+1,99)),1,2),0),0))),IF(OR(W66="",W$77=""),0,IF(W66=W$77,5,IFERROR(IF(SIGN(VALUE(LEFT(W66,FIND("x",W66)-1))-VALUE(MID(W66,FIND("x",W66)+1,99)))=SIGN(VALUE(LEFT(W$77,FIND("x",W$77)-1))-VALUE(MID(W$77,FIND("x",W$77)+1,99))),IF(VALUE(LEFT(W$77,FIND("x",W$77)-1))=VALUE(MID(W$77,FIND("x",W$77)+1,99)),1,2),0),0))),IF(OR(X66="",X$77=""),0,IF(X66=X$77,5,IFERROR(IF(SIGN(VALUE(LEFT(X66,FIND("x",X66)-1))-VALUE(MID(X66,FIND("x",X66)+1,99)))=SIGN(VALUE(LEFT(X$77,FIND("x",X$77)-1))-VALUE(MID(X$77,FIND("x",X$77)+1,99))),IF(VALUE(LEFT(X$77,FIND("x",X$77)-1))=VALUE(MID(X$77,FIND("x",X$77)+1,99)),1,2),0),0))),IF(OR(Y66="",Y$77=""),0,IF(Y66=Y$77,5,IFERROR(IF(SIGN(VALUE(LEFT(Y66,FIND("x",Y66)-1))-VALUE(MID(Y66,FIND("x",Y66)+1,99)))=SIGN(VALUE(LEFT(Y$77,FIND("x",Y$77)-1))-VALUE(MID(Y$77,FIND("x",Y$77)+1,99))),IF(VALUE(LEFT(Y$77,FIND("x",Y$77)-1))=VALUE(MID(Y$77,FIND("x",Y$77)+1,99)),1,2),0),0))))&amp;" ("&amp;SUM(IF(AND(T66&lt;&gt;"",T66=T$77),1,0),IF(AND(U66&lt;&gt;"",U66=U$77),1,0),IF(AND(V66&lt;&gt;"",V66=V$77),1,0),IF(AND(W66&lt;&gt;"",W66=W$77),1,0),IF(AND(X66&lt;&gt;"",X66=X$77),1,0),IF(AND(Y66&lt;&gt;"",Y66=Y$77),1,0))&amp;")")</f>
        <v/>
      </c>
    </row>
    <row r="67" ht="15.75" customHeight="1">
      <c r="A67" s="6" t="s">
        <v>45</v>
      </c>
      <c r="B67" s="6"/>
      <c r="C67" s="6"/>
      <c r="D67" s="6"/>
      <c r="E67" s="6"/>
      <c r="F67" s="6"/>
      <c r="G67" s="6"/>
      <c r="H67" s="6" t="str">
        <f t="shared" si="14"/>
        <v/>
      </c>
      <c r="J67" s="6" t="s">
        <v>45</v>
      </c>
      <c r="K67" s="6"/>
      <c r="L67" s="6"/>
      <c r="M67" s="6"/>
      <c r="N67" s="6"/>
      <c r="O67" s="6"/>
      <c r="P67" s="6"/>
      <c r="Q67" s="6" t="str">
        <f t="shared" si="15"/>
        <v/>
      </c>
      <c r="S67" s="6" t="s">
        <v>45</v>
      </c>
      <c r="T67" s="6"/>
      <c r="U67" s="6"/>
      <c r="V67" s="6"/>
      <c r="W67" s="6"/>
      <c r="X67" s="6"/>
      <c r="Y67" s="6"/>
      <c r="Z67" s="6" t="str">
        <f t="shared" si="16"/>
        <v/>
      </c>
    </row>
    <row r="68" ht="15.75" customHeight="1">
      <c r="A68" s="6" t="s">
        <v>48</v>
      </c>
      <c r="B68" s="6"/>
      <c r="C68" s="6"/>
      <c r="D68" s="6"/>
      <c r="E68" s="6"/>
      <c r="F68" s="6"/>
      <c r="G68" s="6"/>
      <c r="H68" s="6" t="str">
        <f t="shared" si="14"/>
        <v/>
      </c>
      <c r="J68" s="6" t="s">
        <v>48</v>
      </c>
      <c r="K68" s="6"/>
      <c r="L68" s="6"/>
      <c r="M68" s="6"/>
      <c r="N68" s="6"/>
      <c r="O68" s="6"/>
      <c r="P68" s="6"/>
      <c r="Q68" s="6" t="str">
        <f t="shared" si="15"/>
        <v/>
      </c>
      <c r="S68" s="6" t="s">
        <v>48</v>
      </c>
      <c r="T68" s="6"/>
      <c r="U68" s="6"/>
      <c r="V68" s="6"/>
      <c r="W68" s="6"/>
      <c r="X68" s="6"/>
      <c r="Y68" s="6"/>
      <c r="Z68" s="6" t="str">
        <f t="shared" si="16"/>
        <v/>
      </c>
    </row>
    <row r="69" ht="15.75" customHeight="1">
      <c r="A69" s="6" t="s">
        <v>51</v>
      </c>
      <c r="B69" s="6"/>
      <c r="C69" s="6"/>
      <c r="D69" s="6"/>
      <c r="E69" s="6"/>
      <c r="F69" s="6"/>
      <c r="G69" s="6"/>
      <c r="H69" s="6" t="str">
        <f t="shared" si="14"/>
        <v/>
      </c>
      <c r="J69" s="6" t="s">
        <v>51</v>
      </c>
      <c r="K69" s="6"/>
      <c r="L69" s="6"/>
      <c r="M69" s="6"/>
      <c r="N69" s="6"/>
      <c r="O69" s="6"/>
      <c r="P69" s="6"/>
      <c r="Q69" s="6" t="str">
        <f t="shared" si="15"/>
        <v/>
      </c>
      <c r="S69" s="6" t="s">
        <v>51</v>
      </c>
      <c r="T69" s="6"/>
      <c r="U69" s="6"/>
      <c r="V69" s="6"/>
      <c r="W69" s="6"/>
      <c r="X69" s="6"/>
      <c r="Y69" s="6"/>
      <c r="Z69" s="6" t="str">
        <f t="shared" si="16"/>
        <v/>
      </c>
    </row>
    <row r="70" ht="15.75" customHeight="1">
      <c r="A70" s="6" t="s">
        <v>54</v>
      </c>
      <c r="B70" s="6"/>
      <c r="C70" s="6"/>
      <c r="D70" s="6"/>
      <c r="E70" s="6"/>
      <c r="F70" s="6"/>
      <c r="G70" s="6"/>
      <c r="H70" s="6" t="str">
        <f t="shared" si="14"/>
        <v/>
      </c>
      <c r="J70" s="6" t="s">
        <v>54</v>
      </c>
      <c r="K70" s="6"/>
      <c r="L70" s="6"/>
      <c r="M70" s="6"/>
      <c r="N70" s="6"/>
      <c r="O70" s="6"/>
      <c r="P70" s="6"/>
      <c r="Q70" s="6" t="str">
        <f t="shared" si="15"/>
        <v/>
      </c>
      <c r="S70" s="6" t="s">
        <v>54</v>
      </c>
      <c r="T70" s="6"/>
      <c r="U70" s="6"/>
      <c r="V70" s="6"/>
      <c r="W70" s="6"/>
      <c r="X70" s="6"/>
      <c r="Y70" s="6"/>
      <c r="Z70" s="6" t="str">
        <f t="shared" si="16"/>
        <v/>
      </c>
    </row>
    <row r="71" ht="15.75" customHeight="1">
      <c r="A71" s="6" t="s">
        <v>57</v>
      </c>
      <c r="B71" s="6"/>
      <c r="C71" s="6"/>
      <c r="D71" s="6"/>
      <c r="E71" s="6"/>
      <c r="F71" s="6"/>
      <c r="G71" s="6"/>
      <c r="H71" s="6" t="str">
        <f t="shared" si="14"/>
        <v/>
      </c>
      <c r="J71" s="6" t="s">
        <v>57</v>
      </c>
      <c r="K71" s="6"/>
      <c r="L71" s="6"/>
      <c r="M71" s="6"/>
      <c r="N71" s="6"/>
      <c r="O71" s="6"/>
      <c r="P71" s="6"/>
      <c r="Q71" s="6" t="str">
        <f t="shared" si="15"/>
        <v/>
      </c>
      <c r="S71" s="6" t="s">
        <v>57</v>
      </c>
      <c r="T71" s="6"/>
      <c r="U71" s="6"/>
      <c r="V71" s="6"/>
      <c r="W71" s="6"/>
      <c r="X71" s="6"/>
      <c r="Y71" s="6"/>
      <c r="Z71" s="6" t="str">
        <f t="shared" si="16"/>
        <v/>
      </c>
    </row>
    <row r="72" ht="15.75" customHeight="1">
      <c r="A72" s="6" t="s">
        <v>59</v>
      </c>
      <c r="B72" s="6"/>
      <c r="C72" s="6"/>
      <c r="D72" s="6"/>
      <c r="E72" s="6"/>
      <c r="F72" s="6"/>
      <c r="G72" s="6"/>
      <c r="H72" s="6" t="str">
        <f t="shared" si="14"/>
        <v/>
      </c>
      <c r="J72" s="6" t="s">
        <v>59</v>
      </c>
      <c r="K72" s="6"/>
      <c r="L72" s="6"/>
      <c r="M72" s="6"/>
      <c r="N72" s="6"/>
      <c r="O72" s="6"/>
      <c r="P72" s="6"/>
      <c r="Q72" s="6" t="str">
        <f t="shared" si="15"/>
        <v/>
      </c>
      <c r="S72" s="6" t="s">
        <v>59</v>
      </c>
      <c r="T72" s="6"/>
      <c r="U72" s="6"/>
      <c r="V72" s="6"/>
      <c r="W72" s="6"/>
      <c r="X72" s="6"/>
      <c r="Y72" s="6"/>
      <c r="Z72" s="6" t="str">
        <f t="shared" si="16"/>
        <v/>
      </c>
    </row>
    <row r="73" ht="15.75" customHeight="1">
      <c r="A73" s="6" t="s">
        <v>62</v>
      </c>
      <c r="B73" s="6"/>
      <c r="C73" s="6"/>
      <c r="D73" s="6"/>
      <c r="E73" s="6"/>
      <c r="F73" s="6"/>
      <c r="G73" s="6"/>
      <c r="H73" s="6" t="str">
        <f t="shared" si="14"/>
        <v/>
      </c>
      <c r="J73" s="6" t="s">
        <v>62</v>
      </c>
      <c r="K73" s="6"/>
      <c r="L73" s="6"/>
      <c r="M73" s="6"/>
      <c r="N73" s="6"/>
      <c r="O73" s="6"/>
      <c r="P73" s="6"/>
      <c r="Q73" s="6" t="str">
        <f t="shared" si="15"/>
        <v/>
      </c>
      <c r="S73" s="6" t="s">
        <v>62</v>
      </c>
      <c r="T73" s="6"/>
      <c r="U73" s="6"/>
      <c r="V73" s="6"/>
      <c r="W73" s="6"/>
      <c r="X73" s="6"/>
      <c r="Y73" s="6"/>
      <c r="Z73" s="6" t="str">
        <f t="shared" si="16"/>
        <v/>
      </c>
    </row>
    <row r="74" ht="15.75" customHeight="1">
      <c r="A74" s="6" t="s">
        <v>65</v>
      </c>
      <c r="B74" s="6"/>
      <c r="C74" s="6"/>
      <c r="D74" s="6"/>
      <c r="E74" s="6"/>
      <c r="F74" s="6"/>
      <c r="G74" s="6"/>
      <c r="H74" s="6" t="str">
        <f t="shared" si="14"/>
        <v/>
      </c>
      <c r="J74" s="6" t="s">
        <v>65</v>
      </c>
      <c r="K74" s="6"/>
      <c r="L74" s="6"/>
      <c r="M74" s="6"/>
      <c r="N74" s="6"/>
      <c r="O74" s="6"/>
      <c r="P74" s="6"/>
      <c r="Q74" s="6" t="str">
        <f t="shared" si="15"/>
        <v/>
      </c>
      <c r="S74" s="6" t="s">
        <v>65</v>
      </c>
      <c r="T74" s="6"/>
      <c r="U74" s="6"/>
      <c r="V74" s="6"/>
      <c r="W74" s="6"/>
      <c r="X74" s="6"/>
      <c r="Y74" s="6"/>
      <c r="Z74" s="6" t="str">
        <f t="shared" si="16"/>
        <v/>
      </c>
    </row>
    <row r="75" ht="15.75" customHeight="1">
      <c r="A75" s="6" t="s">
        <v>68</v>
      </c>
      <c r="B75" s="6"/>
      <c r="C75" s="6"/>
      <c r="D75" s="6"/>
      <c r="E75" s="6"/>
      <c r="F75" s="6"/>
      <c r="G75" s="6"/>
      <c r="H75" s="6" t="str">
        <f t="shared" si="14"/>
        <v/>
      </c>
      <c r="J75" s="6" t="s">
        <v>68</v>
      </c>
      <c r="K75" s="6"/>
      <c r="L75" s="6"/>
      <c r="M75" s="6"/>
      <c r="N75" s="6"/>
      <c r="O75" s="6"/>
      <c r="P75" s="6"/>
      <c r="Q75" s="6" t="str">
        <f t="shared" si="15"/>
        <v/>
      </c>
      <c r="S75" s="6" t="s">
        <v>68</v>
      </c>
      <c r="T75" s="6"/>
      <c r="U75" s="6"/>
      <c r="V75" s="6"/>
      <c r="W75" s="6"/>
      <c r="X75" s="6"/>
      <c r="Y75" s="6"/>
      <c r="Z75" s="6" t="str">
        <f t="shared" si="16"/>
        <v/>
      </c>
    </row>
    <row r="76" ht="15.75" customHeight="1">
      <c r="A76" s="6" t="s">
        <v>70</v>
      </c>
      <c r="B76" s="6"/>
      <c r="C76" s="6"/>
      <c r="D76" s="6"/>
      <c r="E76" s="6"/>
      <c r="F76" s="6"/>
      <c r="G76" s="6"/>
      <c r="H76" s="6" t="str">
        <f t="shared" si="14"/>
        <v/>
      </c>
      <c r="J76" s="6" t="s">
        <v>70</v>
      </c>
      <c r="K76" s="6"/>
      <c r="L76" s="6"/>
      <c r="M76" s="6"/>
      <c r="N76" s="6"/>
      <c r="O76" s="6"/>
      <c r="P76" s="6"/>
      <c r="Q76" s="6" t="str">
        <f t="shared" si="15"/>
        <v/>
      </c>
      <c r="S76" s="6" t="s">
        <v>70</v>
      </c>
      <c r="T76" s="6"/>
      <c r="U76" s="6"/>
      <c r="V76" s="6"/>
      <c r="W76" s="6"/>
      <c r="X76" s="6"/>
      <c r="Y76" s="6"/>
      <c r="Z76" s="6" t="str">
        <f t="shared" si="16"/>
        <v/>
      </c>
    </row>
    <row r="77" ht="15.75" customHeight="1">
      <c r="A77" s="15" t="s">
        <v>72</v>
      </c>
      <c r="J77" s="15" t="s">
        <v>72</v>
      </c>
      <c r="S77" s="15" t="s">
        <v>72</v>
      </c>
    </row>
    <row r="78" ht="15.75" customHeight="1">
      <c r="A78" s="17">
        <v>0.6666666666666666</v>
      </c>
      <c r="B78" s="5" t="s">
        <v>180</v>
      </c>
      <c r="C78" s="5" t="s">
        <v>181</v>
      </c>
      <c r="J78" s="17">
        <v>0.7083333333333334</v>
      </c>
      <c r="K78" s="5" t="s">
        <v>182</v>
      </c>
      <c r="M78" s="5" t="s">
        <v>183</v>
      </c>
      <c r="S78" s="17">
        <v>0.6666666666666666</v>
      </c>
      <c r="T78" s="5" t="s">
        <v>184</v>
      </c>
      <c r="U78" s="5" t="s">
        <v>185</v>
      </c>
    </row>
    <row r="79" ht="15.75" customHeight="1">
      <c r="A79" s="17">
        <v>0.7916666666666666</v>
      </c>
      <c r="B79" s="5" t="s">
        <v>186</v>
      </c>
      <c r="C79" s="5" t="s">
        <v>187</v>
      </c>
      <c r="J79" s="17">
        <v>0.8333333333333334</v>
      </c>
      <c r="K79" s="5" t="s">
        <v>188</v>
      </c>
      <c r="M79" s="5" t="s">
        <v>189</v>
      </c>
      <c r="S79" s="17">
        <v>0.875</v>
      </c>
      <c r="T79" s="5" t="s">
        <v>190</v>
      </c>
      <c r="V79" s="5" t="s">
        <v>191</v>
      </c>
    </row>
    <row r="80" ht="15.75" customHeight="1">
      <c r="A80" s="17">
        <v>0.9166666666666666</v>
      </c>
      <c r="B80" s="5" t="s">
        <v>192</v>
      </c>
      <c r="J80" s="17">
        <v>0.9583333333333334</v>
      </c>
      <c r="K80" s="5" t="s">
        <v>193</v>
      </c>
      <c r="M80" s="5" t="s">
        <v>194</v>
      </c>
      <c r="S80" s="17">
        <v>0.0</v>
      </c>
      <c r="T80" s="5" t="s">
        <v>195</v>
      </c>
      <c r="V80" s="5" t="s">
        <v>196</v>
      </c>
    </row>
    <row r="81" ht="15.75" customHeight="1">
      <c r="A81" s="3" t="s">
        <v>2</v>
      </c>
      <c r="B81" s="3" t="s">
        <v>197</v>
      </c>
      <c r="C81" s="3" t="s">
        <v>197</v>
      </c>
      <c r="D81" s="3" t="s">
        <v>198</v>
      </c>
      <c r="E81" s="3" t="s">
        <v>198</v>
      </c>
      <c r="F81" s="3" t="s">
        <v>199</v>
      </c>
      <c r="G81" s="3" t="s">
        <v>199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5.75" customHeight="1">
      <c r="A82" s="6" t="s">
        <v>200</v>
      </c>
      <c r="B82" s="6" t="s">
        <v>201</v>
      </c>
      <c r="C82" s="6" t="s">
        <v>202</v>
      </c>
      <c r="D82" s="6" t="s">
        <v>203</v>
      </c>
      <c r="E82" s="6" t="s">
        <v>204</v>
      </c>
      <c r="F82" s="6" t="s">
        <v>205</v>
      </c>
      <c r="G82" s="6" t="s">
        <v>206</v>
      </c>
      <c r="H82" s="6" t="s">
        <v>8</v>
      </c>
    </row>
    <row r="83" ht="15.75" customHeight="1">
      <c r="A83" s="6" t="s">
        <v>38</v>
      </c>
      <c r="B83" s="6"/>
      <c r="C83" s="6"/>
      <c r="D83" s="6"/>
      <c r="E83" s="6"/>
      <c r="F83" s="6"/>
      <c r="G83" s="6"/>
      <c r="H83" s="6" t="str">
        <f t="shared" ref="H83:H93" si="17">IF(COUNTA(B83:G83)=0,"",SUM(IF(OR(B83="",B$94=""),0,IF(B83=B$94,5,IFERROR(IF(SIGN(VALUE(LEFT(B83,FIND("x",B83)-1))-VALUE(MID(B83,FIND("x",B83)+1,99)))=SIGN(VALUE(LEFT(B$94,FIND("x",B$94)-1))-VALUE(MID(B$94,FIND("x",B$94)+1,99))),IF(VALUE(LEFT(B$94,FIND("x",B$94)-1))=VALUE(MID(B$94,FIND("x",B$94)+1,99)),1,2),0),0))),IF(OR(C83="",C$94=""),0,IF(C83=C$94,5,IFERROR(IF(SIGN(VALUE(LEFT(C83,FIND("x",C83)-1))-VALUE(MID(C83,FIND("x",C83)+1,99)))=SIGN(VALUE(LEFT(C$94,FIND("x",C$94)-1))-VALUE(MID(C$94,FIND("x",C$94)+1,99))),IF(VALUE(LEFT(C$94,FIND("x",C$94)-1))=VALUE(MID(C$94,FIND("x",C$94)+1,99)),1,2),0),0))),IF(OR(D83="",D$94=""),0,IF(D83=D$94,5,IFERROR(IF(SIGN(VALUE(LEFT(D83,FIND("x",D83)-1))-VALUE(MID(D83,FIND("x",D83)+1,99)))=SIGN(VALUE(LEFT(D$94,FIND("x",D$94)-1))-VALUE(MID(D$94,FIND("x",D$94)+1,99))),IF(VALUE(LEFT(D$94,FIND("x",D$94)-1))=VALUE(MID(D$94,FIND("x",D$94)+1,99)),1,2),0),0))),IF(OR(E83="",E$94=""),0,IF(E83=E$94,5,IFERROR(IF(SIGN(VALUE(LEFT(E83,FIND("x",E83)-1))-VALUE(MID(E83,FIND("x",E83)+1,99)))=SIGN(VALUE(LEFT(E$94,FIND("x",E$94)-1))-VALUE(MID(E$94,FIND("x",E$94)+1,99))),IF(VALUE(LEFT(E$94,FIND("x",E$94)-1))=VALUE(MID(E$94,FIND("x",E$94)+1,99)),1,2),0),0))),IF(OR(F83="",F$94=""),0,IF(F83=F$94,5,IFERROR(IF(SIGN(VALUE(LEFT(F83,FIND("x",F83)-1))-VALUE(MID(F83,FIND("x",F83)+1,99)))=SIGN(VALUE(LEFT(F$94,FIND("x",F$94)-1))-VALUE(MID(F$94,FIND("x",F$94)+1,99))),IF(VALUE(LEFT(F$94,FIND("x",F$94)-1))=VALUE(MID(F$94,FIND("x",F$94)+1,99)),1,2),0),0))),IF(OR(G83="",G$94=""),0,IF(G83=G$94,5,IFERROR(IF(SIGN(VALUE(LEFT(G83,FIND("x",G83)-1))-VALUE(MID(G83,FIND("x",G83)+1,99)))=SIGN(VALUE(LEFT(G$94,FIND("x",G$94)-1))-VALUE(MID(G$94,FIND("x",G$94)+1,99))),IF(VALUE(LEFT(G$94,FIND("x",G$94)-1))=VALUE(MID(G$94,FIND("x",G$94)+1,99)),1,2),0),0))))&amp;" ("&amp;SUM(IF(AND(B83&lt;&gt;"",B83=B$94),1,0),IF(AND(C83&lt;&gt;"",C83=C$94),1,0),IF(AND(D83&lt;&gt;"",D83=D$94),1,0),IF(AND(E83&lt;&gt;"",E83=E$94),1,0),IF(AND(F83&lt;&gt;"",F83=F$94),1,0),IF(AND(G83&lt;&gt;"",G83=G$94),1,0))&amp;")")</f>
        <v/>
      </c>
    </row>
    <row r="84" ht="15.75" customHeight="1">
      <c r="A84" s="6" t="s">
        <v>45</v>
      </c>
      <c r="B84" s="6"/>
      <c r="C84" s="6"/>
      <c r="D84" s="6"/>
      <c r="E84" s="6"/>
      <c r="F84" s="6"/>
      <c r="G84" s="6"/>
      <c r="H84" s="6" t="str">
        <f t="shared" si="17"/>
        <v/>
      </c>
    </row>
    <row r="85" ht="15.75" customHeight="1">
      <c r="A85" s="6" t="s">
        <v>48</v>
      </c>
      <c r="B85" s="6"/>
      <c r="C85" s="6"/>
      <c r="D85" s="6"/>
      <c r="E85" s="6"/>
      <c r="F85" s="6"/>
      <c r="G85" s="6"/>
      <c r="H85" s="6" t="str">
        <f t="shared" si="17"/>
        <v/>
      </c>
    </row>
    <row r="86" ht="15.75" customHeight="1">
      <c r="A86" s="6" t="s">
        <v>51</v>
      </c>
      <c r="B86" s="6"/>
      <c r="C86" s="6"/>
      <c r="D86" s="6"/>
      <c r="E86" s="6"/>
      <c r="F86" s="6"/>
      <c r="G86" s="6"/>
      <c r="H86" s="6" t="str">
        <f t="shared" si="17"/>
        <v/>
      </c>
    </row>
    <row r="87" ht="15.75" customHeight="1">
      <c r="A87" s="6" t="s">
        <v>54</v>
      </c>
      <c r="B87" s="6"/>
      <c r="C87" s="6"/>
      <c r="D87" s="6"/>
      <c r="E87" s="6"/>
      <c r="F87" s="6"/>
      <c r="G87" s="6"/>
      <c r="H87" s="6" t="str">
        <f t="shared" si="17"/>
        <v/>
      </c>
    </row>
    <row r="88" ht="15.75" customHeight="1">
      <c r="A88" s="6" t="s">
        <v>57</v>
      </c>
      <c r="B88" s="6"/>
      <c r="C88" s="6"/>
      <c r="D88" s="6"/>
      <c r="E88" s="6"/>
      <c r="F88" s="6"/>
      <c r="G88" s="6"/>
      <c r="H88" s="6" t="str">
        <f t="shared" si="17"/>
        <v/>
      </c>
    </row>
    <row r="89" ht="15.75" customHeight="1">
      <c r="A89" s="15" t="s">
        <v>59</v>
      </c>
      <c r="H89" s="5" t="str">
        <f t="shared" si="17"/>
        <v/>
      </c>
    </row>
    <row r="90" ht="15.75" customHeight="1">
      <c r="A90" s="17" t="s">
        <v>62</v>
      </c>
      <c r="B90" s="5"/>
      <c r="D90" s="5"/>
      <c r="H90" s="5" t="str">
        <f t="shared" si="17"/>
        <v/>
      </c>
    </row>
    <row r="91" ht="15.75" customHeight="1">
      <c r="A91" s="17" t="s">
        <v>65</v>
      </c>
      <c r="B91" s="5"/>
      <c r="D91" s="5"/>
      <c r="H91" s="5" t="str">
        <f t="shared" si="17"/>
        <v/>
      </c>
    </row>
    <row r="92" ht="15.75" customHeight="1">
      <c r="A92" s="17" t="s">
        <v>68</v>
      </c>
      <c r="B92" s="5"/>
      <c r="D92" s="5"/>
      <c r="H92" s="5" t="str">
        <f t="shared" si="17"/>
        <v/>
      </c>
    </row>
    <row r="93" ht="15.75" customHeight="1">
      <c r="A93" s="5" t="s">
        <v>70</v>
      </c>
      <c r="H93" s="5" t="str">
        <f t="shared" si="17"/>
        <v/>
      </c>
    </row>
    <row r="94" ht="15.75" customHeight="1">
      <c r="A94" s="5" t="s">
        <v>72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:B24">
    <cfRule type="expression" dxfId="0" priority="1">
      <formula>AND(B3&lt;&gt;"",B$25&lt;&gt;"",B3=B$25)</formula>
    </cfRule>
  </conditionalFormatting>
  <conditionalFormatting sqref="B3:B24">
    <cfRule type="expression" dxfId="1" priority="2">
      <formula>AND(B3&lt;&gt;"",B$25&lt;&gt;"",B3&lt;&gt;B$25,IFERROR(VALUE(LEFT(B3,FIND("x",B3)-1))=VALUE(MID(B3,FIND("x",B3)+1,99)),FALSE),IFERROR(VALUE(LEFT(B$25,FIND("x",B$25)-1))=VALUE(MID(B$25,FIND("x",B$25)+1,99)),FALSE))</formula>
    </cfRule>
  </conditionalFormatting>
  <conditionalFormatting sqref="B3:B24">
    <cfRule type="expression" dxfId="2" priority="3">
      <formula>AND(B3&lt;&gt;"",B$25&lt;&gt;"",B3&lt;&gt;B$25,IFERROR(SIGN(VALUE(LEFT(B3,FIND("x",B3)-1))-VALUE(MID(B3,FIND("x",B3)+1,99)))=SIGN(VALUE(LEFT(B$25,FIND("x",B$25)-1))-VALUE(MID(B$25,FIND("x",B$25)+1,99))),FALSE),IFERROR(VALUE(LEFT(B$25,FIND("x",B$25)-1))&lt;&gt;VALUE(MID(B$25,FIND("x",B$25)+1,99)),FALSE))</formula>
    </cfRule>
  </conditionalFormatting>
  <conditionalFormatting sqref="C3:C24">
    <cfRule type="expression" dxfId="0" priority="4">
      <formula>AND(C3&lt;&gt;"",C$25&lt;&gt;"",C3=C$25)</formula>
    </cfRule>
  </conditionalFormatting>
  <conditionalFormatting sqref="C3:C24">
    <cfRule type="expression" dxfId="1" priority="5">
      <formula>AND(C3&lt;&gt;"",C$25&lt;&gt;"",C3&lt;&gt;C$25,IFERROR(VALUE(LEFT(C3,FIND("x",C3)-1))=VALUE(MID(C3,FIND("x",C3)+1,99)),FALSE),IFERROR(VALUE(LEFT(C$25,FIND("x",C$25)-1))=VALUE(MID(C$25,FIND("x",C$25)+1,99)),FALSE))</formula>
    </cfRule>
  </conditionalFormatting>
  <conditionalFormatting sqref="C3:C24">
    <cfRule type="expression" dxfId="2" priority="6">
      <formula>AND(C3&lt;&gt;"",C$25&lt;&gt;"",C3&lt;&gt;C$25,IFERROR(SIGN(VALUE(LEFT(C3,FIND("x",C3)-1))-VALUE(MID(C3,FIND("x",C3)+1,99)))=SIGN(VALUE(LEFT(C$25,FIND("x",C$25)-1))-VALUE(MID(C$25,FIND("x",C$25)+1,99))),FALSE),IFERROR(VALUE(LEFT(C$25,FIND("x",C$25)-1))&lt;&gt;VALUE(MID(C$25,FIND("x",C$25)+1,99)),FALSE))</formula>
    </cfRule>
  </conditionalFormatting>
  <conditionalFormatting sqref="I3:I24">
    <cfRule type="expression" dxfId="0" priority="7">
      <formula>AND(I3&lt;&gt;"",I$25&lt;&gt;"",I3=I$25)</formula>
    </cfRule>
  </conditionalFormatting>
  <conditionalFormatting sqref="I3:I24">
    <cfRule type="expression" dxfId="1" priority="8">
      <formula>AND(I3&lt;&gt;"",I$25&lt;&gt;"",I3&lt;&gt;I$25,IFERROR(VALUE(LEFT(I3,FIND("x",I3)-1))=VALUE(MID(I3,FIND("x",I3)+1,99)),FALSE),IFERROR(VALUE(LEFT(I$25,FIND("x",I$25)-1))=VALUE(MID(I$25,FIND("x",I$25)+1,99)),FALSE))</formula>
    </cfRule>
  </conditionalFormatting>
  <conditionalFormatting sqref="I3:I24">
    <cfRule type="expression" dxfId="2" priority="9">
      <formula>AND(I3&lt;&gt;"",I$25&lt;&gt;"",I3&lt;&gt;I$25,IFERROR(SIGN(VALUE(LEFT(I3,FIND("x",I3)-1))-VALUE(MID(I3,FIND("x",I3)+1,99)))=SIGN(VALUE(LEFT(I$25,FIND("x",I$25)-1))-VALUE(MID(I$25,FIND("x",I$25)+1,99))),FALSE),IFERROR(VALUE(LEFT(I$25,FIND("x",I$25)-1))&lt;&gt;VALUE(MID(I$25,FIND("x",I$25)+1,99)),FALSE))</formula>
    </cfRule>
  </conditionalFormatting>
  <conditionalFormatting sqref="J3:J24">
    <cfRule type="expression" dxfId="0" priority="10">
      <formula>AND(J3&lt;&gt;"",J$25&lt;&gt;"",J3=J$25)</formula>
    </cfRule>
  </conditionalFormatting>
  <conditionalFormatting sqref="J3:J24">
    <cfRule type="expression" dxfId="1" priority="11">
      <formula>AND(J3&lt;&gt;"",J$25&lt;&gt;"",J3&lt;&gt;J$25,IFERROR(VALUE(LEFT(J3,FIND("x",J3)-1))=VALUE(MID(J3,FIND("x",J3)+1,99)),FALSE),IFERROR(VALUE(LEFT(J$25,FIND("x",J$25)-1))=VALUE(MID(J$25,FIND("x",J$25)+1,99)),FALSE))</formula>
    </cfRule>
  </conditionalFormatting>
  <conditionalFormatting sqref="J3:J24">
    <cfRule type="expression" dxfId="2" priority="12">
      <formula>AND(J3&lt;&gt;"",J$25&lt;&gt;"",J3&lt;&gt;J$25,IFERROR(SIGN(VALUE(LEFT(J3,FIND("x",J3)-1))-VALUE(MID(J3,FIND("x",J3)+1,99)))=SIGN(VALUE(LEFT(J$25,FIND("x",J$25)-1))-VALUE(MID(J$25,FIND("x",J$25)+1,99))),FALSE),IFERROR(VALUE(LEFT(J$25,FIND("x",J$25)-1))&lt;&gt;VALUE(MID(J$25,FIND("x",J$25)+1,99)),FALSE))</formula>
    </cfRule>
  </conditionalFormatting>
  <conditionalFormatting sqref="P3:P24 W3:W24">
    <cfRule type="expression" dxfId="0" priority="13">
      <formula>AND(P3&lt;&gt;"",P$25&lt;&gt;"",P3=P$25)</formula>
    </cfRule>
  </conditionalFormatting>
  <conditionalFormatting sqref="P3:P24 W3:W24">
    <cfRule type="expression" dxfId="1" priority="14">
      <formula>AND(P3&lt;&gt;"",P$25&lt;&gt;"",P3&lt;&gt;P$25,IFERROR(VALUE(LEFT(P3,FIND("x",P3)-1))=VALUE(MID(P3,FIND("x",P3)+1,99)),FALSE),IFERROR(VALUE(LEFT(P$25,FIND("x",P$25)-1))=VALUE(MID(P$25,FIND("x",P$25)+1,99)),FALSE))</formula>
    </cfRule>
  </conditionalFormatting>
  <conditionalFormatting sqref="P3:P24 W3:W24">
    <cfRule type="expression" dxfId="2" priority="15">
      <formula>AND(P3&lt;&gt;"",P$25&lt;&gt;"",P3&lt;&gt;P$25,IFERROR(SIGN(VALUE(LEFT(P3,FIND("x",P3)-1))-VALUE(MID(P3,FIND("x",P3)+1,99)))=SIGN(VALUE(LEFT(P$25,FIND("x",P$25)-1))-VALUE(MID(P$25,FIND("x",P$25)+1,99))),FALSE),IFERROR(VALUE(LEFT(P$25,FIND("x",P$25)-1))&lt;&gt;VALUE(MID(P$25,FIND("x",P$25)+1,99)),FALSE))</formula>
    </cfRule>
  </conditionalFormatting>
  <conditionalFormatting sqref="Q3:Q24 X3:X24">
    <cfRule type="expression" dxfId="0" priority="16">
      <formula>AND(Q3&lt;&gt;"",Q$25&lt;&gt;"",Q3=Q$25)</formula>
    </cfRule>
  </conditionalFormatting>
  <conditionalFormatting sqref="Q3:Q24 X3:X24">
    <cfRule type="expression" dxfId="1" priority="17">
      <formula>AND(Q3&lt;&gt;"",Q$25&lt;&gt;"",Q3&lt;&gt;Q$25,IFERROR(VALUE(LEFT(Q3,FIND("x",Q3)-1))=VALUE(MID(Q3,FIND("x",Q3)+1,99)),FALSE),IFERROR(VALUE(LEFT(Q$25,FIND("x",Q$25)-1))=VALUE(MID(Q$25,FIND("x",Q$25)+1,99)),FALSE))</formula>
    </cfRule>
  </conditionalFormatting>
  <conditionalFormatting sqref="Q3:Q24 X3:X24">
    <cfRule type="expression" dxfId="2" priority="18">
      <formula>AND(Q3&lt;&gt;"",Q$25&lt;&gt;"",Q3&lt;&gt;Q$25,IFERROR(SIGN(VALUE(LEFT(Q3,FIND("x",Q3)-1))-VALUE(MID(Q3,FIND("x",Q3)+1,99)))=SIGN(VALUE(LEFT(Q$25,FIND("x",Q$25)-1))-VALUE(MID(Q$25,FIND("x",Q$25)+1,99))),FALSE),IFERROR(VALUE(LEFT(Q$25,FIND("x",Q$25)-1))&lt;&gt;VALUE(MID(Q$25,FIND("x",Q$25)+1,99)),FALSE))</formula>
    </cfRule>
  </conditionalFormatting>
  <conditionalFormatting sqref="R3:R24 Y3:Y24">
    <cfRule type="expression" dxfId="0" priority="19">
      <formula>AND(R3&lt;&gt;"",R$25&lt;&gt;"",R3=R$25)</formula>
    </cfRule>
  </conditionalFormatting>
  <conditionalFormatting sqref="R3:R24 Y3:Y24">
    <cfRule type="expression" dxfId="1" priority="20">
      <formula>AND(R3&lt;&gt;"",R$25&lt;&gt;"",R3&lt;&gt;R$25,IFERROR(VALUE(LEFT(R3,FIND("x",R3)-1))=VALUE(MID(R3,FIND("x",R3)+1,99)),FALSE),IFERROR(VALUE(LEFT(R$25,FIND("x",R$25)-1))=VALUE(MID(R$25,FIND("x",R$25)+1,99)),FALSE))</formula>
    </cfRule>
  </conditionalFormatting>
  <conditionalFormatting sqref="R3:R24 Y3:Y24">
    <cfRule type="expression" dxfId="2" priority="21">
      <formula>AND(R3&lt;&gt;"",R$25&lt;&gt;"",R3&lt;&gt;R$25,IFERROR(SIGN(VALUE(LEFT(R3,FIND("x",R3)-1))-VALUE(MID(R3,FIND("x",R3)+1,99)))=SIGN(VALUE(LEFT(R$25,FIND("x",R$25)-1))-VALUE(MID(R$25,FIND("x",R$25)+1,99))),FALSE),IFERROR(VALUE(LEFT(R$25,FIND("x",R$25)-1))&lt;&gt;VALUE(MID(R$25,FIND("x",R$25)+1,99)),FALSE))</formula>
    </cfRule>
  </conditionalFormatting>
  <conditionalFormatting sqref="S3:S24 Z3:Z24">
    <cfRule type="expression" dxfId="0" priority="22">
      <formula>AND(S3&lt;&gt;"",S$25&lt;&gt;"",S3=S$25)</formula>
    </cfRule>
  </conditionalFormatting>
  <conditionalFormatting sqref="S3:S24 Z3:Z24">
    <cfRule type="expression" dxfId="1" priority="23">
      <formula>AND(S3&lt;&gt;"",S$25&lt;&gt;"",S3&lt;&gt;S$25,IFERROR(VALUE(LEFT(S3,FIND("x",S3)-1))=VALUE(MID(S3,FIND("x",S3)+1,99)),FALSE),IFERROR(VALUE(LEFT(S$25,FIND("x",S$25)-1))=VALUE(MID(S$25,FIND("x",S$25)+1,99)),FALSE))</formula>
    </cfRule>
  </conditionalFormatting>
  <conditionalFormatting sqref="S3:S24 Z3:Z24">
    <cfRule type="expression" dxfId="2" priority="24">
      <formula>AND(S3&lt;&gt;"",S$25&lt;&gt;"",S3&lt;&gt;S$25,IFERROR(SIGN(VALUE(LEFT(S3,FIND("x",S3)-1))-VALUE(MID(S3,FIND("x",S3)+1,99)))=SIGN(VALUE(LEFT(S$25,FIND("x",S$25)-1))-VALUE(MID(S$25,FIND("x",S$25)+1,99))),FALSE),IFERROR(VALUE(LEFT(S$25,FIND("x",S$25)-1))&lt;&gt;VALUE(MID(S$25,FIND("x",S$25)+1,99)),FALSE))</formula>
    </cfRule>
  </conditionalFormatting>
  <conditionalFormatting sqref="W3:W23">
    <cfRule type="expression" dxfId="0" priority="25">
      <formula>AND(W3&lt;&gt;"",W$14&lt;&gt;"",W3=W$14)</formula>
    </cfRule>
  </conditionalFormatting>
  <conditionalFormatting sqref="W3:W23">
    <cfRule type="expression" dxfId="1" priority="26">
      <formula>AND(W3&lt;&gt;"",W$14&lt;&gt;"",W3&lt;&gt;W$14,IFERROR(VALUE(LEFT(W3,FIND("x",W3)-1))=VALUE(MID(W3,FIND("x",W3)+1,99)),FALSE),IFERROR(VALUE(LEFT(W$14,FIND("x",W$14)-1))=VALUE(MID(W$14,FIND("x",W$14)+1,99)),FALSE))</formula>
    </cfRule>
  </conditionalFormatting>
  <conditionalFormatting sqref="W3:W23">
    <cfRule type="expression" dxfId="2" priority="27">
      <formula>AND(W3&lt;&gt;"",W$14&lt;&gt;"",W3&lt;&gt;W$14,IFERROR(SIGN(VALUE(LEFT(W3,FIND("x",W3)-1))-VALUE(MID(W3,FIND("x",W3)+1,99)))=SIGN(VALUE(LEFT(W$14,FIND("x",W$14)-1))-VALUE(MID(W$14,FIND("x",W$14)+1,99))),FALSE),IFERROR(VALUE(LEFT(W$14,FIND("x",W$14)-1))&lt;&gt;VALUE(MID(W$14,FIND("x",W$14)+1,99)),FALSE))</formula>
    </cfRule>
  </conditionalFormatting>
  <conditionalFormatting sqref="X3:X24">
    <cfRule type="expression" dxfId="0" priority="28">
      <formula>AND(X3&lt;&gt;"",X$14&lt;&gt;"",X3=X$14)</formula>
    </cfRule>
  </conditionalFormatting>
  <conditionalFormatting sqref="X3:X24">
    <cfRule type="expression" dxfId="1" priority="29">
      <formula>AND(X3&lt;&gt;"",X$14&lt;&gt;"",X3&lt;&gt;X$14,IFERROR(VALUE(LEFT(X3,FIND("x",X3)-1))=VALUE(MID(X3,FIND("x",X3)+1,99)),FALSE),IFERROR(VALUE(LEFT(X$14,FIND("x",X$14)-1))=VALUE(MID(X$14,FIND("x",X$14)+1,99)),FALSE))</formula>
    </cfRule>
  </conditionalFormatting>
  <conditionalFormatting sqref="X3:X24">
    <cfRule type="expression" dxfId="2" priority="30">
      <formula>AND(X3&lt;&gt;"",X$14&lt;&gt;"",X3&lt;&gt;X$14,IFERROR(SIGN(VALUE(LEFT(X3,FIND("x",X3)-1))-VALUE(MID(X3,FIND("x",X3)+1,99)))=SIGN(VALUE(LEFT(X$14,FIND("x",X$14)-1))-VALUE(MID(X$14,FIND("x",X$14)+1,99))),FALSE),IFERROR(VALUE(LEFT(X$14,FIND("x",X$14)-1))&lt;&gt;VALUE(MID(X$14,FIND("x",X$14)+1,99)),FALSE))</formula>
    </cfRule>
  </conditionalFormatting>
  <conditionalFormatting sqref="Y3:Y21">
    <cfRule type="expression" dxfId="0" priority="31">
      <formula>AND(Y3&lt;&gt;"",Y$14&lt;&gt;"",Y3=Y$14)</formula>
    </cfRule>
  </conditionalFormatting>
  <conditionalFormatting sqref="Y3:Y21">
    <cfRule type="expression" dxfId="1" priority="32">
      <formula>AND(Y3&lt;&gt;"",Y$14&lt;&gt;"",Y3&lt;&gt;Y$14,IFERROR(VALUE(LEFT(Y3,FIND("x",Y3)-1))=VALUE(MID(Y3,FIND("x",Y3)+1,99)),FALSE),IFERROR(VALUE(LEFT(Y$14,FIND("x",Y$14)-1))=VALUE(MID(Y$14,FIND("x",Y$14)+1,99)),FALSE))</formula>
    </cfRule>
  </conditionalFormatting>
  <conditionalFormatting sqref="Y3:Y21">
    <cfRule type="expression" dxfId="2" priority="33">
      <formula>AND(Y3&lt;&gt;"",Y$14&lt;&gt;"",Y3&lt;&gt;Y$14,IFERROR(SIGN(VALUE(LEFT(Y3,FIND("x",Y3)-1))-VALUE(MID(Y3,FIND("x",Y3)+1,99)))=SIGN(VALUE(LEFT(Y$14,FIND("x",Y$14)-1))-VALUE(MID(Y$14,FIND("x",Y$14)+1,99))),FALSE),IFERROR(VALUE(LEFT(Y$14,FIND("x",Y$14)-1))&lt;&gt;VALUE(MID(Y$14,FIND("x",Y$14)+1,99)),FALSE))</formula>
    </cfRule>
  </conditionalFormatting>
  <conditionalFormatting sqref="Z3:Z19">
    <cfRule type="expression" dxfId="0" priority="34">
      <formula>AND(Z3&lt;&gt;"",Z$14&lt;&gt;"",Z3=Z$14)</formula>
    </cfRule>
  </conditionalFormatting>
  <conditionalFormatting sqref="Z3:Z19">
    <cfRule type="expression" dxfId="1" priority="35">
      <formula>AND(Z3&lt;&gt;"",Z$14&lt;&gt;"",Z3&lt;&gt;Z$14,IFERROR(VALUE(LEFT(Z3,FIND("x",Z3)-1))=VALUE(MID(Z3,FIND("x",Z3)+1,99)),FALSE),IFERROR(VALUE(LEFT(Z$14,FIND("x",Z$14)-1))=VALUE(MID(Z$14,FIND("x",Z$14)+1,99)),FALSE))</formula>
    </cfRule>
  </conditionalFormatting>
  <conditionalFormatting sqref="Z3:Z19">
    <cfRule type="expression" dxfId="2" priority="36">
      <formula>AND(Z3&lt;&gt;"",Z$14&lt;&gt;"",Z3&lt;&gt;Z$14,IFERROR(SIGN(VALUE(LEFT(Z3,FIND("x",Z3)-1))-VALUE(MID(Z3,FIND("x",Z3)+1,99)))=SIGN(VALUE(LEFT(Z$14,FIND("x",Z$14)-1))-VALUE(MID(Z$14,FIND("x",Z$14)+1,99))),FALSE),IFERROR(VALUE(LEFT(Z$14,FIND("x",Z$14)-1))&lt;&gt;VALUE(MID(Z$14,FIND("x",Z$14)+1,99)),FALSE))</formula>
    </cfRule>
  </conditionalFormatting>
  <conditionalFormatting sqref="AD3:AD13">
    <cfRule type="expression" dxfId="0" priority="37">
      <formula>AND(AD3&lt;&gt;"",AD$14&lt;&gt;"",AD3=AD$14)</formula>
    </cfRule>
  </conditionalFormatting>
  <conditionalFormatting sqref="AD3:AD13">
    <cfRule type="expression" dxfId="1" priority="38">
      <formula>AND(AD3&lt;&gt;"",AD$14&lt;&gt;"",AD3&lt;&gt;AD$14,IFERROR(VALUE(LEFT(AD3,FIND("x",AD3)-1))=VALUE(MID(AD3,FIND("x",AD3)+1,99)),FALSE),IFERROR(VALUE(LEFT(AD$14,FIND("x",AD$14)-1))=VALUE(MID(AD$14,FIND("x",AD$14)+1,99)),FALSE))</formula>
    </cfRule>
  </conditionalFormatting>
  <conditionalFormatting sqref="AD3:AD13">
    <cfRule type="expression" dxfId="2" priority="39">
      <formula>AND(AD3&lt;&gt;"",AD$14&lt;&gt;"",AD3&lt;&gt;AD$14,IFERROR(SIGN(VALUE(LEFT(AD3,FIND("x",AD3)-1))-VALUE(MID(AD3,FIND("x",AD3)+1,99)))=SIGN(VALUE(LEFT(AD$14,FIND("x",AD$14)-1))-VALUE(MID(AD$14,FIND("x",AD$14)+1,99))),FALSE),IFERROR(VALUE(LEFT(AD$14,FIND("x",AD$14)-1))&lt;&gt;VALUE(MID(AD$14,FIND("x",AD$14)+1,99)),FALSE))</formula>
    </cfRule>
  </conditionalFormatting>
  <conditionalFormatting sqref="AE3:AE13">
    <cfRule type="expression" dxfId="0" priority="40">
      <formula>AND(AE3&lt;&gt;"",AE$14&lt;&gt;"",AE3=AE$14)</formula>
    </cfRule>
  </conditionalFormatting>
  <conditionalFormatting sqref="AE3:AE13">
    <cfRule type="expression" dxfId="1" priority="41">
      <formula>AND(AE3&lt;&gt;"",AE$14&lt;&gt;"",AE3&lt;&gt;AE$14,IFERROR(VALUE(LEFT(AE3,FIND("x",AE3)-1))=VALUE(MID(AE3,FIND("x",AE3)+1,99)),FALSE),IFERROR(VALUE(LEFT(AE$14,FIND("x",AE$14)-1))=VALUE(MID(AE$14,FIND("x",AE$14)+1,99)),FALSE))</formula>
    </cfRule>
  </conditionalFormatting>
  <conditionalFormatting sqref="AE3:AE13">
    <cfRule type="expression" dxfId="2" priority="42">
      <formula>AND(AE3&lt;&gt;"",AE$14&lt;&gt;"",AE3&lt;&gt;AE$14,IFERROR(SIGN(VALUE(LEFT(AE3,FIND("x",AE3)-1))-VALUE(MID(AE3,FIND("x",AE3)+1,99)))=SIGN(VALUE(LEFT(AE$14,FIND("x",AE$14)-1))-VALUE(MID(AE$14,FIND("x",AE$14)+1,99))),FALSE),IFERROR(VALUE(LEFT(AE$14,FIND("x",AE$14)-1))&lt;&gt;VALUE(MID(AE$14,FIND("x",AE$14)+1,99)),FALSE))</formula>
    </cfRule>
  </conditionalFormatting>
  <conditionalFormatting sqref="AF3:AF13">
    <cfRule type="expression" dxfId="0" priority="43">
      <formula>AND(AF3&lt;&gt;"",AF$14&lt;&gt;"",AF3=AF$14)</formula>
    </cfRule>
  </conditionalFormatting>
  <conditionalFormatting sqref="AF3:AF13">
    <cfRule type="expression" dxfId="1" priority="44">
      <formula>AND(AF3&lt;&gt;"",AF$14&lt;&gt;"",AF3&lt;&gt;AF$14,IFERROR(VALUE(LEFT(AF3,FIND("x",AF3)-1))=VALUE(MID(AF3,FIND("x",AF3)+1,99)),FALSE),IFERROR(VALUE(LEFT(AF$14,FIND("x",AF$14)-1))=VALUE(MID(AF$14,FIND("x",AF$14)+1,99)),FALSE))</formula>
    </cfRule>
  </conditionalFormatting>
  <conditionalFormatting sqref="AF3:AF13">
    <cfRule type="expression" dxfId="2" priority="45">
      <formula>AND(AF3&lt;&gt;"",AF$14&lt;&gt;"",AF3&lt;&gt;AF$14,IFERROR(SIGN(VALUE(LEFT(AF3,FIND("x",AF3)-1))-VALUE(MID(AF3,FIND("x",AF3)+1,99)))=SIGN(VALUE(LEFT(AF$14,FIND("x",AF$14)-1))-VALUE(MID(AF$14,FIND("x",AF$14)+1,99))),FALSE),IFERROR(VALUE(LEFT(AF$14,FIND("x",AF$14)-1))&lt;&gt;VALUE(MID(AF$14,FIND("x",AF$14)+1,99)),FALSE))</formula>
    </cfRule>
  </conditionalFormatting>
  <conditionalFormatting sqref="AG3:AG13">
    <cfRule type="expression" dxfId="0" priority="46">
      <formula>AND(AG3&lt;&gt;"",AG$14&lt;&gt;"",AG3=AG$14)</formula>
    </cfRule>
  </conditionalFormatting>
  <conditionalFormatting sqref="AG3:AG13">
    <cfRule type="expression" dxfId="1" priority="47">
      <formula>AND(AG3&lt;&gt;"",AG$14&lt;&gt;"",AG3&lt;&gt;AG$14,IFERROR(VALUE(LEFT(AG3,FIND("x",AG3)-1))=VALUE(MID(AG3,FIND("x",AG3)+1,99)),FALSE),IFERROR(VALUE(LEFT(AG$14,FIND("x",AG$14)-1))=VALUE(MID(AG$14,FIND("x",AG$14)+1,99)),FALSE))</formula>
    </cfRule>
  </conditionalFormatting>
  <conditionalFormatting sqref="AG3:AG13">
    <cfRule type="expression" dxfId="2" priority="48">
      <formula>AND(AG3&lt;&gt;"",AG$14&lt;&gt;"",AG3&lt;&gt;AG$14,IFERROR(SIGN(VALUE(LEFT(AG3,FIND("x",AG3)-1))-VALUE(MID(AG3,FIND("x",AG3)+1,99)))=SIGN(VALUE(LEFT(AG$14,FIND("x",AG$14)-1))-VALUE(MID(AG$14,FIND("x",AG$14)+1,99))),FALSE),IFERROR(VALUE(LEFT(AG$14,FIND("x",AG$14)-1))&lt;&gt;VALUE(MID(AG$14,FIND("x",AG$14)+1,99)),FALSE))</formula>
    </cfRule>
  </conditionalFormatting>
  <conditionalFormatting sqref="B29:B42">
    <cfRule type="expression" dxfId="0" priority="49">
      <formula>AND(B29&lt;&gt;"",B$43&lt;&gt;"",B29=B$43)</formula>
    </cfRule>
  </conditionalFormatting>
  <conditionalFormatting sqref="B29:B42">
    <cfRule type="expression" dxfId="1" priority="50">
      <formula>AND(B29&lt;&gt;"",B$43&lt;&gt;"",B29&lt;&gt;B$43,IFERROR(VALUE(LEFT(B29,FIND("x",B29)-1))=VALUE(MID(B29,FIND("x",B29)+1,99)),FALSE),IFERROR(VALUE(LEFT(B$43,FIND("x",B$43)-1))=VALUE(MID(B$43,FIND("x",B$43)+1,99)),FALSE))</formula>
    </cfRule>
  </conditionalFormatting>
  <conditionalFormatting sqref="B29:B42">
    <cfRule type="expression" dxfId="2" priority="51">
      <formula>AND(B29&lt;&gt;"",B$43&lt;&gt;"",B29&lt;&gt;B$43,IFERROR(SIGN(VALUE(LEFT(B29,FIND("x",B29)-1))-VALUE(MID(B29,FIND("x",B29)+1,99)))=SIGN(VALUE(LEFT(B$43,FIND("x",B$43)-1))-VALUE(MID(B$43,FIND("x",B$43)+1,99))),FALSE),IFERROR(VALUE(LEFT(B$43,FIND("x",B$43)-1))&lt;&gt;VALUE(MID(B$43,FIND("x",B$43)+1,99)),FALSE))</formula>
    </cfRule>
  </conditionalFormatting>
  <conditionalFormatting sqref="C29:C42">
    <cfRule type="expression" dxfId="0" priority="52">
      <formula>AND(C29&lt;&gt;"",C$43&lt;&gt;"",C29=C$43)</formula>
    </cfRule>
  </conditionalFormatting>
  <conditionalFormatting sqref="C29:C42">
    <cfRule type="expression" dxfId="1" priority="53">
      <formula>AND(C29&lt;&gt;"",C$43&lt;&gt;"",C29&lt;&gt;C$43,IFERROR(VALUE(LEFT(C29,FIND("x",C29)-1))=VALUE(MID(C29,FIND("x",C29)+1,99)),FALSE),IFERROR(VALUE(LEFT(C$43,FIND("x",C$43)-1))=VALUE(MID(C$43,FIND("x",C$43)+1,99)),FALSE))</formula>
    </cfRule>
  </conditionalFormatting>
  <conditionalFormatting sqref="C29:C42">
    <cfRule type="expression" dxfId="2" priority="54">
      <formula>AND(C29&lt;&gt;"",C$43&lt;&gt;"",C29&lt;&gt;C$43,IFERROR(SIGN(VALUE(LEFT(C29,FIND("x",C29)-1))-VALUE(MID(C29,FIND("x",C29)+1,99)))=SIGN(VALUE(LEFT(C$43,FIND("x",C$43)-1))-VALUE(MID(C$43,FIND("x",C$43)+1,99))),FALSE),IFERROR(VALUE(LEFT(C$43,FIND("x",C$43)-1))&lt;&gt;VALUE(MID(C$43,FIND("x",C$43)+1,99)),FALSE))</formula>
    </cfRule>
  </conditionalFormatting>
  <conditionalFormatting sqref="D29:D42">
    <cfRule type="expression" dxfId="0" priority="55">
      <formula>AND(D29&lt;&gt;"",D$43&lt;&gt;"",D29=D$43)</formula>
    </cfRule>
  </conditionalFormatting>
  <conditionalFormatting sqref="D29:D42">
    <cfRule type="expression" dxfId="1" priority="56">
      <formula>AND(D29&lt;&gt;"",D$43&lt;&gt;"",D29&lt;&gt;D$43,IFERROR(VALUE(LEFT(D29,FIND("x",D29)-1))=VALUE(MID(D29,FIND("x",D29)+1,99)),FALSE),IFERROR(VALUE(LEFT(D$43,FIND("x",D$43)-1))=VALUE(MID(D$43,FIND("x",D$43)+1,99)),FALSE))</formula>
    </cfRule>
  </conditionalFormatting>
  <conditionalFormatting sqref="D29:D42">
    <cfRule type="expression" dxfId="2" priority="57">
      <formula>AND(D29&lt;&gt;"",D$43&lt;&gt;"",D29&lt;&gt;D$43,IFERROR(SIGN(VALUE(LEFT(D29,FIND("x",D29)-1))-VALUE(MID(D29,FIND("x",D29)+1,99)))=SIGN(VALUE(LEFT(D$43,FIND("x",D$43)-1))-VALUE(MID(D$43,FIND("x",D$43)+1,99))),FALSE),IFERROR(VALUE(LEFT(D$43,FIND("x",D$43)-1))&lt;&gt;VALUE(MID(D$43,FIND("x",D$43)+1,99)),FALSE))</formula>
    </cfRule>
  </conditionalFormatting>
  <conditionalFormatting sqref="E29:E42">
    <cfRule type="expression" dxfId="0" priority="58">
      <formula>AND(E29&lt;&gt;"",E$43&lt;&gt;"",E29=E$43)</formula>
    </cfRule>
  </conditionalFormatting>
  <conditionalFormatting sqref="E29:E42">
    <cfRule type="expression" dxfId="1" priority="59">
      <formula>AND(E29&lt;&gt;"",E$43&lt;&gt;"",E29&lt;&gt;E$43,IFERROR(VALUE(LEFT(E29,FIND("x",E29)-1))=VALUE(MID(E29,FIND("x",E29)+1,99)),FALSE),IFERROR(VALUE(LEFT(E$43,FIND("x",E$43)-1))=VALUE(MID(E$43,FIND("x",E$43)+1,99)),FALSE))</formula>
    </cfRule>
  </conditionalFormatting>
  <conditionalFormatting sqref="E29:E42">
    <cfRule type="expression" dxfId="2" priority="60">
      <formula>AND(E29&lt;&gt;"",E$43&lt;&gt;"",E29&lt;&gt;E$43,IFERROR(SIGN(VALUE(LEFT(E29,FIND("x",E29)-1))-VALUE(MID(E29,FIND("x",E29)+1,99)))=SIGN(VALUE(LEFT(E$43,FIND("x",E$43)-1))-VALUE(MID(E$43,FIND("x",E$43)+1,99))),FALSE),IFERROR(VALUE(LEFT(E$43,FIND("x",E$43)-1))&lt;&gt;VALUE(MID(E$43,FIND("x",E$43)+1,99)),FALSE))</formula>
    </cfRule>
  </conditionalFormatting>
  <conditionalFormatting sqref="I29:I42">
    <cfRule type="expression" dxfId="0" priority="61">
      <formula>AND(I29&lt;&gt;"",I$43&lt;&gt;"",I29=I$43)</formula>
    </cfRule>
  </conditionalFormatting>
  <conditionalFormatting sqref="I29:I42">
    <cfRule type="expression" dxfId="1" priority="62">
      <formula>AND(I29&lt;&gt;"",I$43&lt;&gt;"",I29&lt;&gt;I$43,IFERROR(VALUE(LEFT(I29,FIND("x",I29)-1))=VALUE(MID(I29,FIND("x",I29)+1,99)),FALSE),IFERROR(VALUE(LEFT(I$43,FIND("x",I$43)-1))=VALUE(MID(I$43,FIND("x",I$43)+1,99)),FALSE))</formula>
    </cfRule>
  </conditionalFormatting>
  <conditionalFormatting sqref="I29:I42">
    <cfRule type="expression" dxfId="2" priority="63">
      <formula>AND(I29&lt;&gt;"",I$43&lt;&gt;"",I29&lt;&gt;I$43,IFERROR(SIGN(VALUE(LEFT(I29,FIND("x",I29)-1))-VALUE(MID(I29,FIND("x",I29)+1,99)))=SIGN(VALUE(LEFT(I$43,FIND("x",I$43)-1))-VALUE(MID(I$43,FIND("x",I$43)+1,99))),FALSE),IFERROR(VALUE(LEFT(I$43,FIND("x",I$43)-1))&lt;&gt;VALUE(MID(I$43,FIND("x",I$43)+1,99)),FALSE))</formula>
    </cfRule>
  </conditionalFormatting>
  <conditionalFormatting sqref="J29:J42">
    <cfRule type="expression" dxfId="0" priority="64">
      <formula>AND(J29&lt;&gt;"",J$43&lt;&gt;"",J29=J$43)</formula>
    </cfRule>
  </conditionalFormatting>
  <conditionalFormatting sqref="J29:J42">
    <cfRule type="expression" dxfId="1" priority="65">
      <formula>AND(J29&lt;&gt;"",J$43&lt;&gt;"",J29&lt;&gt;J$43,IFERROR(VALUE(LEFT(J29,FIND("x",J29)-1))=VALUE(MID(J29,FIND("x",J29)+1,99)),FALSE),IFERROR(VALUE(LEFT(J$43,FIND("x",J$43)-1))=VALUE(MID(J$43,FIND("x",J$43)+1,99)),FALSE))</formula>
    </cfRule>
  </conditionalFormatting>
  <conditionalFormatting sqref="J29:J42">
    <cfRule type="expression" dxfId="2" priority="66">
      <formula>AND(J29&lt;&gt;"",J$43&lt;&gt;"",J29&lt;&gt;J$43,IFERROR(SIGN(VALUE(LEFT(J29,FIND("x",J29)-1))-VALUE(MID(J29,FIND("x",J29)+1,99)))=SIGN(VALUE(LEFT(J$43,FIND("x",J$43)-1))-VALUE(MID(J$43,FIND("x",J$43)+1,99))),FALSE),IFERROR(VALUE(LEFT(J$43,FIND("x",J$43)-1))&lt;&gt;VALUE(MID(J$43,FIND("x",J$43)+1,99)),FALSE))</formula>
    </cfRule>
  </conditionalFormatting>
  <conditionalFormatting sqref="K29:K42">
    <cfRule type="expression" dxfId="0" priority="67">
      <formula>AND(K29&lt;&gt;"",K$43&lt;&gt;"",K29=K$43)</formula>
    </cfRule>
  </conditionalFormatting>
  <conditionalFormatting sqref="K29:K42">
    <cfRule type="expression" dxfId="1" priority="68">
      <formula>AND(K29&lt;&gt;"",K$43&lt;&gt;"",K29&lt;&gt;K$43,IFERROR(VALUE(LEFT(K29,FIND("x",K29)-1))=VALUE(MID(K29,FIND("x",K29)+1,99)),FALSE),IFERROR(VALUE(LEFT(K$43,FIND("x",K$43)-1))=VALUE(MID(K$43,FIND("x",K$43)+1,99)),FALSE))</formula>
    </cfRule>
  </conditionalFormatting>
  <conditionalFormatting sqref="K29:K42">
    <cfRule type="expression" dxfId="2" priority="69">
      <formula>AND(K29&lt;&gt;"",K$43&lt;&gt;"",K29&lt;&gt;K$43,IFERROR(SIGN(VALUE(LEFT(K29,FIND("x",K29)-1))-VALUE(MID(K29,FIND("x",K29)+1,99)))=SIGN(VALUE(LEFT(K$43,FIND("x",K$43)-1))-VALUE(MID(K$43,FIND("x",K$43)+1,99))),FALSE),IFERROR(VALUE(LEFT(K$43,FIND("x",K$43)-1))&lt;&gt;VALUE(MID(K$43,FIND("x",K$43)+1,99)),FALSE))</formula>
    </cfRule>
  </conditionalFormatting>
  <conditionalFormatting sqref="L29:L42">
    <cfRule type="expression" dxfId="0" priority="70">
      <formula>AND(L29&lt;&gt;"",L$43&lt;&gt;"",L29=L$43)</formula>
    </cfRule>
  </conditionalFormatting>
  <conditionalFormatting sqref="L29:L42">
    <cfRule type="expression" dxfId="1" priority="71">
      <formula>AND(L29&lt;&gt;"",L$43&lt;&gt;"",L29&lt;&gt;L$43,IFERROR(VALUE(LEFT(L29,FIND("x",L29)-1))=VALUE(MID(L29,FIND("x",L29)+1,99)),FALSE),IFERROR(VALUE(LEFT(L$43,FIND("x",L$43)-1))=VALUE(MID(L$43,FIND("x",L$43)+1,99)),FALSE))</formula>
    </cfRule>
  </conditionalFormatting>
  <conditionalFormatting sqref="L29:L42">
    <cfRule type="expression" dxfId="2" priority="72">
      <formula>AND(L29&lt;&gt;"",L$43&lt;&gt;"",L29&lt;&gt;L$43,IFERROR(SIGN(VALUE(LEFT(L29,FIND("x",L29)-1))-VALUE(MID(L29,FIND("x",L29)+1,99)))=SIGN(VALUE(LEFT(L$43,FIND("x",L$43)-1))-VALUE(MID(L$43,FIND("x",L$43)+1,99))),FALSE),IFERROR(VALUE(LEFT(L$43,FIND("x",L$43)-1))&lt;&gt;VALUE(MID(L$43,FIND("x",L$43)+1,99)),FALSE))</formula>
    </cfRule>
  </conditionalFormatting>
  <conditionalFormatting sqref="P29:P42">
    <cfRule type="expression" dxfId="0" priority="73">
      <formula>AND(P29&lt;&gt;"",P$43&lt;&gt;"",P29=P$43)</formula>
    </cfRule>
  </conditionalFormatting>
  <conditionalFormatting sqref="P29:P42">
    <cfRule type="expression" dxfId="1" priority="74">
      <formula>AND(P29&lt;&gt;"",P$43&lt;&gt;"",P29&lt;&gt;P$43,IFERROR(VALUE(LEFT(P29,FIND("x",P29)-1))=VALUE(MID(P29,FIND("x",P29)+1,99)),FALSE),IFERROR(VALUE(LEFT(P$43,FIND("x",P$43)-1))=VALUE(MID(P$43,FIND("x",P$43)+1,99)),FALSE))</formula>
    </cfRule>
  </conditionalFormatting>
  <conditionalFormatting sqref="P29:P42">
    <cfRule type="expression" dxfId="2" priority="75">
      <formula>AND(P29&lt;&gt;"",P$43&lt;&gt;"",P29&lt;&gt;P$43,IFERROR(SIGN(VALUE(LEFT(P29,FIND("x",P29)-1))-VALUE(MID(P29,FIND("x",P29)+1,99)))=SIGN(VALUE(LEFT(P$43,FIND("x",P$43)-1))-VALUE(MID(P$43,FIND("x",P$43)+1,99))),FALSE),IFERROR(VALUE(LEFT(P$43,FIND("x",P$43)-1))&lt;&gt;VALUE(MID(P$43,FIND("x",P$43)+1,99)),FALSE))</formula>
    </cfRule>
  </conditionalFormatting>
  <conditionalFormatting sqref="Q29:Q42">
    <cfRule type="expression" dxfId="0" priority="76">
      <formula>AND(Q29&lt;&gt;"",Q$43&lt;&gt;"",Q29=Q$43)</formula>
    </cfRule>
  </conditionalFormatting>
  <conditionalFormatting sqref="Q29:Q42">
    <cfRule type="expression" dxfId="1" priority="77">
      <formula>AND(Q29&lt;&gt;"",Q$43&lt;&gt;"",Q29&lt;&gt;Q$43,IFERROR(VALUE(LEFT(Q29,FIND("x",Q29)-1))=VALUE(MID(Q29,FIND("x",Q29)+1,99)),FALSE),IFERROR(VALUE(LEFT(Q$43,FIND("x",Q$43)-1))=VALUE(MID(Q$43,FIND("x",Q$43)+1,99)),FALSE))</formula>
    </cfRule>
  </conditionalFormatting>
  <conditionalFormatting sqref="Q29:Q42">
    <cfRule type="expression" dxfId="2" priority="78">
      <formula>AND(Q29&lt;&gt;"",Q$43&lt;&gt;"",Q29&lt;&gt;Q$43,IFERROR(SIGN(VALUE(LEFT(Q29,FIND("x",Q29)-1))-VALUE(MID(Q29,FIND("x",Q29)+1,99)))=SIGN(VALUE(LEFT(Q$43,FIND("x",Q$43)-1))-VALUE(MID(Q$43,FIND("x",Q$43)+1,99))),FALSE),IFERROR(VALUE(LEFT(Q$43,FIND("x",Q$43)-1))&lt;&gt;VALUE(MID(Q$43,FIND("x",Q$43)+1,99)),FALSE))</formula>
    </cfRule>
  </conditionalFormatting>
  <conditionalFormatting sqref="R29:R42">
    <cfRule type="expression" dxfId="0" priority="79">
      <formula>AND(R29&lt;&gt;"",R$43&lt;&gt;"",R29=R$43)</formula>
    </cfRule>
  </conditionalFormatting>
  <conditionalFormatting sqref="R29:R42">
    <cfRule type="expression" dxfId="1" priority="80">
      <formula>AND(R29&lt;&gt;"",R$43&lt;&gt;"",R29&lt;&gt;R$43,IFERROR(VALUE(LEFT(R29,FIND("x",R29)-1))=VALUE(MID(R29,FIND("x",R29)+1,99)),FALSE),IFERROR(VALUE(LEFT(R$43,FIND("x",R$43)-1))=VALUE(MID(R$43,FIND("x",R$43)+1,99)),FALSE))</formula>
    </cfRule>
  </conditionalFormatting>
  <conditionalFormatting sqref="R29:R42">
    <cfRule type="expression" dxfId="2" priority="81">
      <formula>AND(R29&lt;&gt;"",R$43&lt;&gt;"",R29&lt;&gt;R$43,IFERROR(SIGN(VALUE(LEFT(R29,FIND("x",R29)-1))-VALUE(MID(R29,FIND("x",R29)+1,99)))=SIGN(VALUE(LEFT(R$43,FIND("x",R$43)-1))-VALUE(MID(R$43,FIND("x",R$43)+1,99))),FALSE),IFERROR(VALUE(LEFT(R$43,FIND("x",R$43)-1))&lt;&gt;VALUE(MID(R$43,FIND("x",R$43)+1,99)),FALSE))</formula>
    </cfRule>
  </conditionalFormatting>
  <conditionalFormatting sqref="S29:S42">
    <cfRule type="expression" dxfId="0" priority="82">
      <formula>AND(S29&lt;&gt;"",S$43&lt;&gt;"",S29=S$43)</formula>
    </cfRule>
  </conditionalFormatting>
  <conditionalFormatting sqref="S29:S42">
    <cfRule type="expression" dxfId="1" priority="83">
      <formula>AND(S29&lt;&gt;"",S$43&lt;&gt;"",S29&lt;&gt;S$43,IFERROR(VALUE(LEFT(S29,FIND("x",S29)-1))=VALUE(MID(S29,FIND("x",S29)+1,99)),FALSE),IFERROR(VALUE(LEFT(S$43,FIND("x",S$43)-1))=VALUE(MID(S$43,FIND("x",S$43)+1,99)),FALSE))</formula>
    </cfRule>
  </conditionalFormatting>
  <conditionalFormatting sqref="S29:S42">
    <cfRule type="expression" dxfId="2" priority="84">
      <formula>AND(S29&lt;&gt;"",S$43&lt;&gt;"",S29&lt;&gt;S$43,IFERROR(SIGN(VALUE(LEFT(S29,FIND("x",S29)-1))-VALUE(MID(S29,FIND("x",S29)+1,99)))=SIGN(VALUE(LEFT(S$43,FIND("x",S$43)-1))-VALUE(MID(S$43,FIND("x",S$43)+1,99))),FALSE),IFERROR(VALUE(LEFT(S$43,FIND("x",S$43)-1))&lt;&gt;VALUE(MID(S$43,FIND("x",S$43)+1,99)),FALSE))</formula>
    </cfRule>
  </conditionalFormatting>
  <conditionalFormatting sqref="W29:W42">
    <cfRule type="expression" dxfId="0" priority="85">
      <formula>AND(W29&lt;&gt;"",W$43&lt;&gt;"",W29=W$43)</formula>
    </cfRule>
  </conditionalFormatting>
  <conditionalFormatting sqref="W29:W42">
    <cfRule type="expression" dxfId="1" priority="86">
      <formula>AND(W29&lt;&gt;"",W$43&lt;&gt;"",W29&lt;&gt;W$43,IFERROR(VALUE(LEFT(W29,FIND("x",W29)-1))=VALUE(MID(W29,FIND("x",W29)+1,99)),FALSE),IFERROR(VALUE(LEFT(W$43,FIND("x",W$43)-1))=VALUE(MID(W$43,FIND("x",W$43)+1,99)),FALSE))</formula>
    </cfRule>
  </conditionalFormatting>
  <conditionalFormatting sqref="W29:W42">
    <cfRule type="expression" dxfId="2" priority="87">
      <formula>AND(W29&lt;&gt;"",W$43&lt;&gt;"",W29&lt;&gt;W$43,IFERROR(SIGN(VALUE(LEFT(W29,FIND("x",W29)-1))-VALUE(MID(W29,FIND("x",W29)+1,99)))=SIGN(VALUE(LEFT(W$43,FIND("x",W$43)-1))-VALUE(MID(W$43,FIND("x",W$43)+1,99))),FALSE),IFERROR(VALUE(LEFT(W$43,FIND("x",W$43)-1))&lt;&gt;VALUE(MID(W$43,FIND("x",W$43)+1,99)),FALSE))</formula>
    </cfRule>
  </conditionalFormatting>
  <conditionalFormatting sqref="X29:X42">
    <cfRule type="expression" dxfId="0" priority="88">
      <formula>AND(X29&lt;&gt;"",X$43&lt;&gt;"",X29=X$43)</formula>
    </cfRule>
  </conditionalFormatting>
  <conditionalFormatting sqref="X29:X42">
    <cfRule type="expression" dxfId="1" priority="89">
      <formula>AND(X29&lt;&gt;"",X$43&lt;&gt;"",X29&lt;&gt;X$43,IFERROR(VALUE(LEFT(X29,FIND("x",X29)-1))=VALUE(MID(X29,FIND("x",X29)+1,99)),FALSE),IFERROR(VALUE(LEFT(X$43,FIND("x",X$43)-1))=VALUE(MID(X$43,FIND("x",X$43)+1,99)),FALSE))</formula>
    </cfRule>
  </conditionalFormatting>
  <conditionalFormatting sqref="X29:X42">
    <cfRule type="expression" dxfId="2" priority="90">
      <formula>AND(X29&lt;&gt;"",X$43&lt;&gt;"",X29&lt;&gt;X$43,IFERROR(SIGN(VALUE(LEFT(X29,FIND("x",X29)-1))-VALUE(MID(X29,FIND("x",X29)+1,99)))=SIGN(VALUE(LEFT(X$43,FIND("x",X$43)-1))-VALUE(MID(X$43,FIND("x",X$43)+1,99))),FALSE),IFERROR(VALUE(LEFT(X$43,FIND("x",X$43)-1))&lt;&gt;VALUE(MID(X$43,FIND("x",X$43)+1,99)),FALSE))</formula>
    </cfRule>
  </conditionalFormatting>
  <conditionalFormatting sqref="Y29:Y42">
    <cfRule type="expression" dxfId="0" priority="91">
      <formula>AND(Y29&lt;&gt;"",Y$43&lt;&gt;"",Y29=Y$43)</formula>
    </cfRule>
  </conditionalFormatting>
  <conditionalFormatting sqref="Y29:Y42">
    <cfRule type="expression" dxfId="1" priority="92">
      <formula>AND(Y29&lt;&gt;"",Y$43&lt;&gt;"",Y29&lt;&gt;Y$43,IFERROR(VALUE(LEFT(Y29,FIND("x",Y29)-1))=VALUE(MID(Y29,FIND("x",Y29)+1,99)),FALSE),IFERROR(VALUE(LEFT(Y$43,FIND("x",Y$43)-1))=VALUE(MID(Y$43,FIND("x",Y$43)+1,99)),FALSE))</formula>
    </cfRule>
  </conditionalFormatting>
  <conditionalFormatting sqref="Y29:Y42">
    <cfRule type="expression" dxfId="2" priority="93">
      <formula>AND(Y29&lt;&gt;"",Y$43&lt;&gt;"",Y29&lt;&gt;Y$43,IFERROR(SIGN(VALUE(LEFT(Y29,FIND("x",Y29)-1))-VALUE(MID(Y29,FIND("x",Y29)+1,99)))=SIGN(VALUE(LEFT(Y$43,FIND("x",Y$43)-1))-VALUE(MID(Y$43,FIND("x",Y$43)+1,99))),FALSE),IFERROR(VALUE(LEFT(Y$43,FIND("x",Y$43)-1))&lt;&gt;VALUE(MID(Y$43,FIND("x",Y$43)+1,99)),FALSE))</formula>
    </cfRule>
  </conditionalFormatting>
  <conditionalFormatting sqref="Z29:Z42">
    <cfRule type="expression" dxfId="0" priority="94">
      <formula>AND(Z29&lt;&gt;"",Z$43&lt;&gt;"",Z29=Z$43)</formula>
    </cfRule>
  </conditionalFormatting>
  <conditionalFormatting sqref="Z29:Z42">
    <cfRule type="expression" dxfId="1" priority="95">
      <formula>AND(Z29&lt;&gt;"",Z$43&lt;&gt;"",Z29&lt;&gt;Z$43,IFERROR(VALUE(LEFT(Z29,FIND("x",Z29)-1))=VALUE(MID(Z29,FIND("x",Z29)+1,99)),FALSE),IFERROR(VALUE(LEFT(Z$43,FIND("x",Z$43)-1))=VALUE(MID(Z$43,FIND("x",Z$43)+1,99)),FALSE))</formula>
    </cfRule>
  </conditionalFormatting>
  <conditionalFormatting sqref="Z29:Z42">
    <cfRule type="expression" dxfId="2" priority="96">
      <formula>AND(Z29&lt;&gt;"",Z$43&lt;&gt;"",Z29&lt;&gt;Z$43,IFERROR(SIGN(VALUE(LEFT(Z29,FIND("x",Z29)-1))-VALUE(MID(Z29,FIND("x",Z29)+1,99)))=SIGN(VALUE(LEFT(Z$43,FIND("x",Z$43)-1))-VALUE(MID(Z$43,FIND("x",Z$43)+1,99))),FALSE),IFERROR(VALUE(LEFT(Z$43,FIND("x",Z$43)-1))&lt;&gt;VALUE(MID(Z$43,FIND("x",Z$43)+1,99)),FALSE))</formula>
    </cfRule>
  </conditionalFormatting>
  <conditionalFormatting sqref="AD21:AD33">
    <cfRule type="expression" dxfId="0" priority="97">
      <formula>AND(AD21&lt;&gt;"",AD$34&lt;&gt;"",AD21=AD$34)</formula>
    </cfRule>
  </conditionalFormatting>
  <conditionalFormatting sqref="AD21:AD33">
    <cfRule type="expression" dxfId="1" priority="98">
      <formula>AND(AD21&lt;&gt;"",AD$34&lt;&gt;"",AD21&lt;&gt;AD$34,IFERROR(VALUE(LEFT(AD21,FIND("x",AD21)-1))=VALUE(MID(AD21,FIND("x",AD21)+1,99)),FALSE),IFERROR(VALUE(LEFT(AD$34,FIND("x",AD$34)-1))=VALUE(MID(AD$34,FIND("x",AD$34)+1,99)),FALSE))</formula>
    </cfRule>
  </conditionalFormatting>
  <conditionalFormatting sqref="AD21:AD33">
    <cfRule type="expression" dxfId="2" priority="99">
      <formula>AND(AD21&lt;&gt;"",AD$34&lt;&gt;"",AD21&lt;&gt;AD$34,IFERROR(SIGN(VALUE(LEFT(AD21,FIND("x",AD21)-1))-VALUE(MID(AD21,FIND("x",AD21)+1,99)))=SIGN(VALUE(LEFT(AD$34,FIND("x",AD$34)-1))-VALUE(MID(AD$34,FIND("x",AD$34)+1,99))),FALSE),IFERROR(VALUE(LEFT(AD$34,FIND("x",AD$34)-1))&lt;&gt;VALUE(MID(AD$34,FIND("x",AD$34)+1,99)),FALSE))</formula>
    </cfRule>
  </conditionalFormatting>
  <conditionalFormatting sqref="AE21:AE33">
    <cfRule type="expression" dxfId="0" priority="100">
      <formula>AND(AE21&lt;&gt;"",AE$34&lt;&gt;"",AE21=AE$34)</formula>
    </cfRule>
  </conditionalFormatting>
  <conditionalFormatting sqref="AE21:AE33">
    <cfRule type="expression" dxfId="1" priority="101">
      <formula>AND(AE21&lt;&gt;"",AE$34&lt;&gt;"",AE21&lt;&gt;AE$34,IFERROR(VALUE(LEFT(AE21,FIND("x",AE21)-1))=VALUE(MID(AE21,FIND("x",AE21)+1,99)),FALSE),IFERROR(VALUE(LEFT(AE$34,FIND("x",AE$34)-1))=VALUE(MID(AE$34,FIND("x",AE$34)+1,99)),FALSE))</formula>
    </cfRule>
  </conditionalFormatting>
  <conditionalFormatting sqref="AE21:AE33">
    <cfRule type="expression" dxfId="2" priority="102">
      <formula>AND(AE21&lt;&gt;"",AE$34&lt;&gt;"",AE21&lt;&gt;AE$34,IFERROR(SIGN(VALUE(LEFT(AE21,FIND("x",AE21)-1))-VALUE(MID(AE21,FIND("x",AE21)+1,99)))=SIGN(VALUE(LEFT(AE$34,FIND("x",AE$34)-1))-VALUE(MID(AE$34,FIND("x",AE$34)+1,99))),FALSE),IFERROR(VALUE(LEFT(AE$34,FIND("x",AE$34)-1))&lt;&gt;VALUE(MID(AE$34,FIND("x",AE$34)+1,99)),FALSE))</formula>
    </cfRule>
  </conditionalFormatting>
  <conditionalFormatting sqref="AF21:AF33">
    <cfRule type="expression" dxfId="0" priority="103">
      <formula>AND(AF21&lt;&gt;"",AF$34&lt;&gt;"",AF21=AF$34)</formula>
    </cfRule>
  </conditionalFormatting>
  <conditionalFormatting sqref="AF21:AF33">
    <cfRule type="expression" dxfId="1" priority="104">
      <formula>AND(AF21&lt;&gt;"",AF$34&lt;&gt;"",AF21&lt;&gt;AF$34,IFERROR(VALUE(LEFT(AF21,FIND("x",AF21)-1))=VALUE(MID(AF21,FIND("x",AF21)+1,99)),FALSE),IFERROR(VALUE(LEFT(AF$34,FIND("x",AF$34)-1))=VALUE(MID(AF$34,FIND("x",AF$34)+1,99)),FALSE))</formula>
    </cfRule>
  </conditionalFormatting>
  <conditionalFormatting sqref="AF21:AF33">
    <cfRule type="expression" dxfId="2" priority="105">
      <formula>AND(AF21&lt;&gt;"",AF$34&lt;&gt;"",AF21&lt;&gt;AF$34,IFERROR(SIGN(VALUE(LEFT(AF21,FIND("x",AF21)-1))-VALUE(MID(AF21,FIND("x",AF21)+1,99)))=SIGN(VALUE(LEFT(AF$34,FIND("x",AF$34)-1))-VALUE(MID(AF$34,FIND("x",AF$34)+1,99))),FALSE),IFERROR(VALUE(LEFT(AF$34,FIND("x",AF$34)-1))&lt;&gt;VALUE(MID(AF$34,FIND("x",AF$34)+1,99)),FALSE))</formula>
    </cfRule>
  </conditionalFormatting>
  <conditionalFormatting sqref="AG21:AG33">
    <cfRule type="expression" dxfId="0" priority="106">
      <formula>AND(AG21&lt;&gt;"",AG$34&lt;&gt;"",AG21=AG$34)</formula>
    </cfRule>
  </conditionalFormatting>
  <conditionalFormatting sqref="AG21:AG33">
    <cfRule type="expression" dxfId="1" priority="107">
      <formula>AND(AG21&lt;&gt;"",AG$34&lt;&gt;"",AG21&lt;&gt;AG$34,IFERROR(VALUE(LEFT(AG21,FIND("x",AG21)-1))=VALUE(MID(AG21,FIND("x",AG21)+1,99)),FALSE),IFERROR(VALUE(LEFT(AG$34,FIND("x",AG$34)-1))=VALUE(MID(AG$34,FIND("x",AG$34)+1,99)),FALSE))</formula>
    </cfRule>
  </conditionalFormatting>
  <conditionalFormatting sqref="AG21:AG33">
    <cfRule type="expression" dxfId="2" priority="108">
      <formula>AND(AG21&lt;&gt;"",AG$34&lt;&gt;"",AG21&lt;&gt;AG$34,IFERROR(SIGN(VALUE(LEFT(AG21,FIND("x",AG21)-1))-VALUE(MID(AG21,FIND("x",AG21)+1,99)))=SIGN(VALUE(LEFT(AG$34,FIND("x",AG$34)-1))-VALUE(MID(AG$34,FIND("x",AG$34)+1,99))),FALSE),IFERROR(VALUE(LEFT(AG$34,FIND("x",AG$34)-1))&lt;&gt;VALUE(MID(AG$34,FIND("x",AG$34)+1,99)),FALSE))</formula>
    </cfRule>
  </conditionalFormatting>
  <conditionalFormatting sqref="B49:B59">
    <cfRule type="expression" dxfId="0" priority="109">
      <formula>AND(B49&lt;&gt;"",B$60&lt;&gt;"",B49=B$60)</formula>
    </cfRule>
  </conditionalFormatting>
  <conditionalFormatting sqref="B49:B59">
    <cfRule type="expression" dxfId="1" priority="110">
      <formula>AND(B49&lt;&gt;"",B$60&lt;&gt;"",B49&lt;&gt;B$60,IFERROR(VALUE(LEFT(B49,FIND("x",B49)-1))=VALUE(MID(B49,FIND("x",B49)+1,99)),FALSE),IFERROR(VALUE(LEFT(B$60,FIND("x",B$60)-1))=VALUE(MID(B$60,FIND("x",B$60)+1,99)),FALSE))</formula>
    </cfRule>
  </conditionalFormatting>
  <conditionalFormatting sqref="B49:B59">
    <cfRule type="expression" dxfId="2" priority="111">
      <formula>AND(B49&lt;&gt;"",B$60&lt;&gt;"",B49&lt;&gt;B$60,IFERROR(SIGN(VALUE(LEFT(B49,FIND("x",B49)-1))-VALUE(MID(B49,FIND("x",B49)+1,99)))=SIGN(VALUE(LEFT(B$60,FIND("x",B$60)-1))-VALUE(MID(B$60,FIND("x",B$60)+1,99))),FALSE),IFERROR(VALUE(LEFT(B$60,FIND("x",B$60)-1))&lt;&gt;VALUE(MID(B$60,FIND("x",B$60)+1,99)),FALSE))</formula>
    </cfRule>
  </conditionalFormatting>
  <conditionalFormatting sqref="C49:C59">
    <cfRule type="expression" dxfId="0" priority="112">
      <formula>AND(C49&lt;&gt;"",C$60&lt;&gt;"",C49=C$60)</formula>
    </cfRule>
  </conditionalFormatting>
  <conditionalFormatting sqref="C49:C59">
    <cfRule type="expression" dxfId="1" priority="113">
      <formula>AND(C49&lt;&gt;"",C$60&lt;&gt;"",C49&lt;&gt;C$60,IFERROR(VALUE(LEFT(C49,FIND("x",C49)-1))=VALUE(MID(C49,FIND("x",C49)+1,99)),FALSE),IFERROR(VALUE(LEFT(C$60,FIND("x",C$60)-1))=VALUE(MID(C$60,FIND("x",C$60)+1,99)),FALSE))</formula>
    </cfRule>
  </conditionalFormatting>
  <conditionalFormatting sqref="C49:C59">
    <cfRule type="expression" dxfId="2" priority="114">
      <formula>AND(C49&lt;&gt;"",C$60&lt;&gt;"",C49&lt;&gt;C$60,IFERROR(SIGN(VALUE(LEFT(C49,FIND("x",C49)-1))-VALUE(MID(C49,FIND("x",C49)+1,99)))=SIGN(VALUE(LEFT(C$60,FIND("x",C$60)-1))-VALUE(MID(C$60,FIND("x",C$60)+1,99))),FALSE),IFERROR(VALUE(LEFT(C$60,FIND("x",C$60)-1))&lt;&gt;VALUE(MID(C$60,FIND("x",C$60)+1,99)),FALSE))</formula>
    </cfRule>
  </conditionalFormatting>
  <conditionalFormatting sqref="D49:D59">
    <cfRule type="expression" dxfId="0" priority="115">
      <formula>AND(D49&lt;&gt;"",D$60&lt;&gt;"",D49=D$60)</formula>
    </cfRule>
  </conditionalFormatting>
  <conditionalFormatting sqref="D49:D59">
    <cfRule type="expression" dxfId="1" priority="116">
      <formula>AND(D49&lt;&gt;"",D$60&lt;&gt;"",D49&lt;&gt;D$60,IFERROR(VALUE(LEFT(D49,FIND("x",D49)-1))=VALUE(MID(D49,FIND("x",D49)+1,99)),FALSE),IFERROR(VALUE(LEFT(D$60,FIND("x",D$60)-1))=VALUE(MID(D$60,FIND("x",D$60)+1,99)),FALSE))</formula>
    </cfRule>
  </conditionalFormatting>
  <conditionalFormatting sqref="D49:D59">
    <cfRule type="expression" dxfId="2" priority="117">
      <formula>AND(D49&lt;&gt;"",D$60&lt;&gt;"",D49&lt;&gt;D$60,IFERROR(SIGN(VALUE(LEFT(D49,FIND("x",D49)-1))-VALUE(MID(D49,FIND("x",D49)+1,99)))=SIGN(VALUE(LEFT(D$60,FIND("x",D$60)-1))-VALUE(MID(D$60,FIND("x",D$60)+1,99))),FALSE),IFERROR(VALUE(LEFT(D$60,FIND("x",D$60)-1))&lt;&gt;VALUE(MID(D$60,FIND("x",D$60)+1,99)),FALSE))</formula>
    </cfRule>
  </conditionalFormatting>
  <conditionalFormatting sqref="E49:E59">
    <cfRule type="expression" dxfId="0" priority="118">
      <formula>AND(E49&lt;&gt;"",E$60&lt;&gt;"",E49=E$60)</formula>
    </cfRule>
  </conditionalFormatting>
  <conditionalFormatting sqref="E49:E59">
    <cfRule type="expression" dxfId="1" priority="119">
      <formula>AND(E49&lt;&gt;"",E$60&lt;&gt;"",E49&lt;&gt;E$60,IFERROR(VALUE(LEFT(E49,FIND("x",E49)-1))=VALUE(MID(E49,FIND("x",E49)+1,99)),FALSE),IFERROR(VALUE(LEFT(E$60,FIND("x",E$60)-1))=VALUE(MID(E$60,FIND("x",E$60)+1,99)),FALSE))</formula>
    </cfRule>
  </conditionalFormatting>
  <conditionalFormatting sqref="E49:E59">
    <cfRule type="expression" dxfId="2" priority="120">
      <formula>AND(E49&lt;&gt;"",E$60&lt;&gt;"",E49&lt;&gt;E$60,IFERROR(SIGN(VALUE(LEFT(E49,FIND("x",E49)-1))-VALUE(MID(E49,FIND("x",E49)+1,99)))=SIGN(VALUE(LEFT(E$60,FIND("x",E$60)-1))-VALUE(MID(E$60,FIND("x",E$60)+1,99))),FALSE),IFERROR(VALUE(LEFT(E$60,FIND("x",E$60)-1))&lt;&gt;VALUE(MID(E$60,FIND("x",E$60)+1,99)),FALSE))</formula>
    </cfRule>
  </conditionalFormatting>
  <conditionalFormatting sqref="I49:I59">
    <cfRule type="expression" dxfId="0" priority="121">
      <formula>AND(I49&lt;&gt;"",I$60&lt;&gt;"",I49=I$60)</formula>
    </cfRule>
  </conditionalFormatting>
  <conditionalFormatting sqref="I49:I59">
    <cfRule type="expression" dxfId="1" priority="122">
      <formula>AND(I49&lt;&gt;"",I$60&lt;&gt;"",I49&lt;&gt;I$60,IFERROR(VALUE(LEFT(I49,FIND("x",I49)-1))=VALUE(MID(I49,FIND("x",I49)+1,99)),FALSE),IFERROR(VALUE(LEFT(I$60,FIND("x",I$60)-1))=VALUE(MID(I$60,FIND("x",I$60)+1,99)),FALSE))</formula>
    </cfRule>
  </conditionalFormatting>
  <conditionalFormatting sqref="I49:I59">
    <cfRule type="expression" dxfId="2" priority="123">
      <formula>AND(I49&lt;&gt;"",I$60&lt;&gt;"",I49&lt;&gt;I$60,IFERROR(SIGN(VALUE(LEFT(I49,FIND("x",I49)-1))-VALUE(MID(I49,FIND("x",I49)+1,99)))=SIGN(VALUE(LEFT(I$60,FIND("x",I$60)-1))-VALUE(MID(I$60,FIND("x",I$60)+1,99))),FALSE),IFERROR(VALUE(LEFT(I$60,FIND("x",I$60)-1))&lt;&gt;VALUE(MID(I$60,FIND("x",I$60)+1,99)),FALSE))</formula>
    </cfRule>
  </conditionalFormatting>
  <conditionalFormatting sqref="J49:J59">
    <cfRule type="expression" dxfId="0" priority="124">
      <formula>AND(J49&lt;&gt;"",J$60&lt;&gt;"",J49=J$60)</formula>
    </cfRule>
  </conditionalFormatting>
  <conditionalFormatting sqref="J49:J59">
    <cfRule type="expression" dxfId="1" priority="125">
      <formula>AND(J49&lt;&gt;"",J$60&lt;&gt;"",J49&lt;&gt;J$60,IFERROR(VALUE(LEFT(J49,FIND("x",J49)-1))=VALUE(MID(J49,FIND("x",J49)+1,99)),FALSE),IFERROR(VALUE(LEFT(J$60,FIND("x",J$60)-1))=VALUE(MID(J$60,FIND("x",J$60)+1,99)),FALSE))</formula>
    </cfRule>
  </conditionalFormatting>
  <conditionalFormatting sqref="J49:J59">
    <cfRule type="expression" dxfId="2" priority="126">
      <formula>AND(J49&lt;&gt;"",J$60&lt;&gt;"",J49&lt;&gt;J$60,IFERROR(SIGN(VALUE(LEFT(J49,FIND("x",J49)-1))-VALUE(MID(J49,FIND("x",J49)+1,99)))=SIGN(VALUE(LEFT(J$60,FIND("x",J$60)-1))-VALUE(MID(J$60,FIND("x",J$60)+1,99))),FALSE),IFERROR(VALUE(LEFT(J$60,FIND("x",J$60)-1))&lt;&gt;VALUE(MID(J$60,FIND("x",J$60)+1,99)),FALSE))</formula>
    </cfRule>
  </conditionalFormatting>
  <conditionalFormatting sqref="K49:K59">
    <cfRule type="expression" dxfId="0" priority="127">
      <formula>AND(K49&lt;&gt;"",K$60&lt;&gt;"",K49=K$60)</formula>
    </cfRule>
  </conditionalFormatting>
  <conditionalFormatting sqref="K49:K59">
    <cfRule type="expression" dxfId="1" priority="128">
      <formula>AND(K49&lt;&gt;"",K$60&lt;&gt;"",K49&lt;&gt;K$60,IFERROR(VALUE(LEFT(K49,FIND("x",K49)-1))=VALUE(MID(K49,FIND("x",K49)+1,99)),FALSE),IFERROR(VALUE(LEFT(K$60,FIND("x",K$60)-1))=VALUE(MID(K$60,FIND("x",K$60)+1,99)),FALSE))</formula>
    </cfRule>
  </conditionalFormatting>
  <conditionalFormatting sqref="K49:K59">
    <cfRule type="expression" dxfId="2" priority="129">
      <formula>AND(K49&lt;&gt;"",K$60&lt;&gt;"",K49&lt;&gt;K$60,IFERROR(SIGN(VALUE(LEFT(K49,FIND("x",K49)-1))-VALUE(MID(K49,FIND("x",K49)+1,99)))=SIGN(VALUE(LEFT(K$60,FIND("x",K$60)-1))-VALUE(MID(K$60,FIND("x",K$60)+1,99))),FALSE),IFERROR(VALUE(LEFT(K$60,FIND("x",K$60)-1))&lt;&gt;VALUE(MID(K$60,FIND("x",K$60)+1,99)),FALSE))</formula>
    </cfRule>
  </conditionalFormatting>
  <conditionalFormatting sqref="L49:L59">
    <cfRule type="expression" dxfId="0" priority="130">
      <formula>AND(L49&lt;&gt;"",L$60&lt;&gt;"",L49=L$60)</formula>
    </cfRule>
  </conditionalFormatting>
  <conditionalFormatting sqref="L49:L59">
    <cfRule type="expression" dxfId="1" priority="131">
      <formula>AND(L49&lt;&gt;"",L$60&lt;&gt;"",L49&lt;&gt;L$60,IFERROR(VALUE(LEFT(L49,FIND("x",L49)-1))=VALUE(MID(L49,FIND("x",L49)+1,99)),FALSE),IFERROR(VALUE(LEFT(L$60,FIND("x",L$60)-1))=VALUE(MID(L$60,FIND("x",L$60)+1,99)),FALSE))</formula>
    </cfRule>
  </conditionalFormatting>
  <conditionalFormatting sqref="L49:L59">
    <cfRule type="expression" dxfId="2" priority="132">
      <formula>AND(L49&lt;&gt;"",L$60&lt;&gt;"",L49&lt;&gt;L$60,IFERROR(SIGN(VALUE(LEFT(L49,FIND("x",L49)-1))-VALUE(MID(L49,FIND("x",L49)+1,99)))=SIGN(VALUE(LEFT(L$60,FIND("x",L$60)-1))-VALUE(MID(L$60,FIND("x",L$60)+1,99))),FALSE),IFERROR(VALUE(LEFT(L$60,FIND("x",L$60)-1))&lt;&gt;VALUE(MID(L$60,FIND("x",L$60)+1,99)),FALSE))</formula>
    </cfRule>
  </conditionalFormatting>
  <conditionalFormatting sqref="P49:P59">
    <cfRule type="expression" dxfId="0" priority="133">
      <formula>AND(P49&lt;&gt;"",P$60&lt;&gt;"",P49=P$60)</formula>
    </cfRule>
  </conditionalFormatting>
  <conditionalFormatting sqref="P49:P59">
    <cfRule type="expression" dxfId="1" priority="134">
      <formula>AND(P49&lt;&gt;"",P$60&lt;&gt;"",P49&lt;&gt;P$60,IFERROR(VALUE(LEFT(P49,FIND("x",P49)-1))=VALUE(MID(P49,FIND("x",P49)+1,99)),FALSE),IFERROR(VALUE(LEFT(P$60,FIND("x",P$60)-1))=VALUE(MID(P$60,FIND("x",P$60)+1,99)),FALSE))</formula>
    </cfRule>
  </conditionalFormatting>
  <conditionalFormatting sqref="P49:P59">
    <cfRule type="expression" dxfId="2" priority="135">
      <formula>AND(P49&lt;&gt;"",P$60&lt;&gt;"",P49&lt;&gt;P$60,IFERROR(SIGN(VALUE(LEFT(P49,FIND("x",P49)-1))-VALUE(MID(P49,FIND("x",P49)+1,99)))=SIGN(VALUE(LEFT(P$60,FIND("x",P$60)-1))-VALUE(MID(P$60,FIND("x",P$60)+1,99))),FALSE),IFERROR(VALUE(LEFT(P$60,FIND("x",P$60)-1))&lt;&gt;VALUE(MID(P$60,FIND("x",P$60)+1,99)),FALSE))</formula>
    </cfRule>
  </conditionalFormatting>
  <conditionalFormatting sqref="Q49:Q59">
    <cfRule type="expression" dxfId="0" priority="136">
      <formula>AND(Q49&lt;&gt;"",Q$60&lt;&gt;"",Q49=Q$60)</formula>
    </cfRule>
  </conditionalFormatting>
  <conditionalFormatting sqref="Q49:Q59">
    <cfRule type="expression" dxfId="1" priority="137">
      <formula>AND(Q49&lt;&gt;"",Q$60&lt;&gt;"",Q49&lt;&gt;Q$60,IFERROR(VALUE(LEFT(Q49,FIND("x",Q49)-1))=VALUE(MID(Q49,FIND("x",Q49)+1,99)),FALSE),IFERROR(VALUE(LEFT(Q$60,FIND("x",Q$60)-1))=VALUE(MID(Q$60,FIND("x",Q$60)+1,99)),FALSE))</formula>
    </cfRule>
  </conditionalFormatting>
  <conditionalFormatting sqref="Q49:Q59">
    <cfRule type="expression" dxfId="2" priority="138">
      <formula>AND(Q49&lt;&gt;"",Q$60&lt;&gt;"",Q49&lt;&gt;Q$60,IFERROR(SIGN(VALUE(LEFT(Q49,FIND("x",Q49)-1))-VALUE(MID(Q49,FIND("x",Q49)+1,99)))=SIGN(VALUE(LEFT(Q$60,FIND("x",Q$60)-1))-VALUE(MID(Q$60,FIND("x",Q$60)+1,99))),FALSE),IFERROR(VALUE(LEFT(Q$60,FIND("x",Q$60)-1))&lt;&gt;VALUE(MID(Q$60,FIND("x",Q$60)+1,99)),FALSE))</formula>
    </cfRule>
  </conditionalFormatting>
  <conditionalFormatting sqref="R49:R59">
    <cfRule type="expression" dxfId="0" priority="139">
      <formula>AND(R49&lt;&gt;"",R$60&lt;&gt;"",R49=R$60)</formula>
    </cfRule>
  </conditionalFormatting>
  <conditionalFormatting sqref="R49:R59">
    <cfRule type="expression" dxfId="1" priority="140">
      <formula>AND(R49&lt;&gt;"",R$60&lt;&gt;"",R49&lt;&gt;R$60,IFERROR(VALUE(LEFT(R49,FIND("x",R49)-1))=VALUE(MID(R49,FIND("x",R49)+1,99)),FALSE),IFERROR(VALUE(LEFT(R$60,FIND("x",R$60)-1))=VALUE(MID(R$60,FIND("x",R$60)+1,99)),FALSE))</formula>
    </cfRule>
  </conditionalFormatting>
  <conditionalFormatting sqref="R49:R59">
    <cfRule type="expression" dxfId="2" priority="141">
      <formula>AND(R49&lt;&gt;"",R$60&lt;&gt;"",R49&lt;&gt;R$60,IFERROR(SIGN(VALUE(LEFT(R49,FIND("x",R49)-1))-VALUE(MID(R49,FIND("x",R49)+1,99)))=SIGN(VALUE(LEFT(R$60,FIND("x",R$60)-1))-VALUE(MID(R$60,FIND("x",R$60)+1,99))),FALSE),IFERROR(VALUE(LEFT(R$60,FIND("x",R$60)-1))&lt;&gt;VALUE(MID(R$60,FIND("x",R$60)+1,99)),FALSE))</formula>
    </cfRule>
  </conditionalFormatting>
  <conditionalFormatting sqref="S49:S59">
    <cfRule type="expression" dxfId="0" priority="142">
      <formula>AND(S49&lt;&gt;"",S$60&lt;&gt;"",S49=S$60)</formula>
    </cfRule>
  </conditionalFormatting>
  <conditionalFormatting sqref="S49:S59">
    <cfRule type="expression" dxfId="1" priority="143">
      <formula>AND(S49&lt;&gt;"",S$60&lt;&gt;"",S49&lt;&gt;S$60,IFERROR(VALUE(LEFT(S49,FIND("x",S49)-1))=VALUE(MID(S49,FIND("x",S49)+1,99)),FALSE),IFERROR(VALUE(LEFT(S$60,FIND("x",S$60)-1))=VALUE(MID(S$60,FIND("x",S$60)+1,99)),FALSE))</formula>
    </cfRule>
  </conditionalFormatting>
  <conditionalFormatting sqref="S49:S59">
    <cfRule type="expression" dxfId="2" priority="144">
      <formula>AND(S49&lt;&gt;"",S$60&lt;&gt;"",S49&lt;&gt;S$60,IFERROR(SIGN(VALUE(LEFT(S49,FIND("x",S49)-1))-VALUE(MID(S49,FIND("x",S49)+1,99)))=SIGN(VALUE(LEFT(S$60,FIND("x",S$60)-1))-VALUE(MID(S$60,FIND("x",S$60)+1,99))),FALSE),IFERROR(VALUE(LEFT(S$60,FIND("x",S$60)-1))&lt;&gt;VALUE(MID(S$60,FIND("x",S$60)+1,99)),FALSE))</formula>
    </cfRule>
  </conditionalFormatting>
  <conditionalFormatting sqref="B66:B76">
    <cfRule type="expression" dxfId="0" priority="145">
      <formula>AND(B66&lt;&gt;"",B$77&lt;&gt;"",B66=B$77)</formula>
    </cfRule>
  </conditionalFormatting>
  <conditionalFormatting sqref="B66:B76">
    <cfRule type="expression" dxfId="1" priority="146">
      <formula>AND(B66&lt;&gt;"",B$77&lt;&gt;"",B66&lt;&gt;B$77,IFERROR(VALUE(LEFT(B66,FIND("x",B66)-1))=VALUE(MID(B66,FIND("x",B66)+1,99)),FALSE),IFERROR(VALUE(LEFT(B$77,FIND("x",B$77)-1))=VALUE(MID(B$77,FIND("x",B$77)+1,99)),FALSE))</formula>
    </cfRule>
  </conditionalFormatting>
  <conditionalFormatting sqref="B66:B76">
    <cfRule type="expression" dxfId="2" priority="147">
      <formula>AND(B66&lt;&gt;"",B$77&lt;&gt;"",B66&lt;&gt;B$77,IFERROR(SIGN(VALUE(LEFT(B66,FIND("x",B66)-1))-VALUE(MID(B66,FIND("x",B66)+1,99)))=SIGN(VALUE(LEFT(B$77,FIND("x",B$77)-1))-VALUE(MID(B$77,FIND("x",B$77)+1,99))),FALSE),IFERROR(VALUE(LEFT(B$77,FIND("x",B$77)-1))&lt;&gt;VALUE(MID(B$77,FIND("x",B$77)+1,99)),FALSE))</formula>
    </cfRule>
  </conditionalFormatting>
  <conditionalFormatting sqref="C66:C76">
    <cfRule type="expression" dxfId="0" priority="148">
      <formula>AND(C66&lt;&gt;"",C$77&lt;&gt;"",C66=C$77)</formula>
    </cfRule>
  </conditionalFormatting>
  <conditionalFormatting sqref="C66:C76">
    <cfRule type="expression" dxfId="1" priority="149">
      <formula>AND(C66&lt;&gt;"",C$77&lt;&gt;"",C66&lt;&gt;C$77,IFERROR(VALUE(LEFT(C66,FIND("x",C66)-1))=VALUE(MID(C66,FIND("x",C66)+1,99)),FALSE),IFERROR(VALUE(LEFT(C$77,FIND("x",C$77)-1))=VALUE(MID(C$77,FIND("x",C$77)+1,99)),FALSE))</formula>
    </cfRule>
  </conditionalFormatting>
  <conditionalFormatting sqref="C66:C76">
    <cfRule type="expression" dxfId="2" priority="150">
      <formula>AND(C66&lt;&gt;"",C$77&lt;&gt;"",C66&lt;&gt;C$77,IFERROR(SIGN(VALUE(LEFT(C66,FIND("x",C66)-1))-VALUE(MID(C66,FIND("x",C66)+1,99)))=SIGN(VALUE(LEFT(C$77,FIND("x",C$77)-1))-VALUE(MID(C$77,FIND("x",C$77)+1,99))),FALSE),IFERROR(VALUE(LEFT(C$77,FIND("x",C$77)-1))&lt;&gt;VALUE(MID(C$77,FIND("x",C$77)+1,99)),FALSE))</formula>
    </cfRule>
  </conditionalFormatting>
  <conditionalFormatting sqref="D66:D76">
    <cfRule type="expression" dxfId="0" priority="151">
      <formula>AND(D66&lt;&gt;"",D$77&lt;&gt;"",D66=D$77)</formula>
    </cfRule>
  </conditionalFormatting>
  <conditionalFormatting sqref="D66:D76">
    <cfRule type="expression" dxfId="1" priority="152">
      <formula>AND(D66&lt;&gt;"",D$77&lt;&gt;"",D66&lt;&gt;D$77,IFERROR(VALUE(LEFT(D66,FIND("x",D66)-1))=VALUE(MID(D66,FIND("x",D66)+1,99)),FALSE),IFERROR(VALUE(LEFT(D$77,FIND("x",D$77)-1))=VALUE(MID(D$77,FIND("x",D$77)+1,99)),FALSE))</formula>
    </cfRule>
  </conditionalFormatting>
  <conditionalFormatting sqref="D66:D76">
    <cfRule type="expression" dxfId="2" priority="153">
      <formula>AND(D66&lt;&gt;"",D$77&lt;&gt;"",D66&lt;&gt;D$77,IFERROR(SIGN(VALUE(LEFT(D66,FIND("x",D66)-1))-VALUE(MID(D66,FIND("x",D66)+1,99)))=SIGN(VALUE(LEFT(D$77,FIND("x",D$77)-1))-VALUE(MID(D$77,FIND("x",D$77)+1,99))),FALSE),IFERROR(VALUE(LEFT(D$77,FIND("x",D$77)-1))&lt;&gt;VALUE(MID(D$77,FIND("x",D$77)+1,99)),FALSE))</formula>
    </cfRule>
  </conditionalFormatting>
  <conditionalFormatting sqref="E66:E76">
    <cfRule type="expression" dxfId="0" priority="154">
      <formula>AND(E66&lt;&gt;"",E$77&lt;&gt;"",E66=E$77)</formula>
    </cfRule>
  </conditionalFormatting>
  <conditionalFormatting sqref="E66:E76">
    <cfRule type="expression" dxfId="1" priority="155">
      <formula>AND(E66&lt;&gt;"",E$77&lt;&gt;"",E66&lt;&gt;E$77,IFERROR(VALUE(LEFT(E66,FIND("x",E66)-1))=VALUE(MID(E66,FIND("x",E66)+1,99)),FALSE),IFERROR(VALUE(LEFT(E$77,FIND("x",E$77)-1))=VALUE(MID(E$77,FIND("x",E$77)+1,99)),FALSE))</formula>
    </cfRule>
  </conditionalFormatting>
  <conditionalFormatting sqref="E66:E76">
    <cfRule type="expression" dxfId="2" priority="156">
      <formula>AND(E66&lt;&gt;"",E$77&lt;&gt;"",E66&lt;&gt;E$77,IFERROR(SIGN(VALUE(LEFT(E66,FIND("x",E66)-1))-VALUE(MID(E66,FIND("x",E66)+1,99)))=SIGN(VALUE(LEFT(E$77,FIND("x",E$77)-1))-VALUE(MID(E$77,FIND("x",E$77)+1,99))),FALSE),IFERROR(VALUE(LEFT(E$77,FIND("x",E$77)-1))&lt;&gt;VALUE(MID(E$77,FIND("x",E$77)+1,99)),FALSE))</formula>
    </cfRule>
  </conditionalFormatting>
  <conditionalFormatting sqref="F66:F76">
    <cfRule type="expression" dxfId="0" priority="157">
      <formula>AND(F66&lt;&gt;"",F$77&lt;&gt;"",F66=F$77)</formula>
    </cfRule>
  </conditionalFormatting>
  <conditionalFormatting sqref="F66:F76">
    <cfRule type="expression" dxfId="1" priority="158">
      <formula>AND(F66&lt;&gt;"",F$77&lt;&gt;"",F66&lt;&gt;F$77,IFERROR(VALUE(LEFT(F66,FIND("x",F66)-1))=VALUE(MID(F66,FIND("x",F66)+1,99)),FALSE),IFERROR(VALUE(LEFT(F$77,FIND("x",F$77)-1))=VALUE(MID(F$77,FIND("x",F$77)+1,99)),FALSE))</formula>
    </cfRule>
  </conditionalFormatting>
  <conditionalFormatting sqref="F66:F76">
    <cfRule type="expression" dxfId="2" priority="159">
      <formula>AND(F66&lt;&gt;"",F$77&lt;&gt;"",F66&lt;&gt;F$77,IFERROR(SIGN(VALUE(LEFT(F66,FIND("x",F66)-1))-VALUE(MID(F66,FIND("x",F66)+1,99)))=SIGN(VALUE(LEFT(F$77,FIND("x",F$77)-1))-VALUE(MID(F$77,FIND("x",F$77)+1,99))),FALSE),IFERROR(VALUE(LEFT(F$77,FIND("x",F$77)-1))&lt;&gt;VALUE(MID(F$77,FIND("x",F$77)+1,99)),FALSE))</formula>
    </cfRule>
  </conditionalFormatting>
  <conditionalFormatting sqref="G66:G76">
    <cfRule type="expression" dxfId="0" priority="160">
      <formula>AND(G66&lt;&gt;"",G$77&lt;&gt;"",G66=G$77)</formula>
    </cfRule>
  </conditionalFormatting>
  <conditionalFormatting sqref="G66:G76">
    <cfRule type="expression" dxfId="1" priority="161">
      <formula>AND(G66&lt;&gt;"",G$77&lt;&gt;"",G66&lt;&gt;G$77,IFERROR(VALUE(LEFT(G66,FIND("x",G66)-1))=VALUE(MID(G66,FIND("x",G66)+1,99)),FALSE),IFERROR(VALUE(LEFT(G$77,FIND("x",G$77)-1))=VALUE(MID(G$77,FIND("x",G$77)+1,99)),FALSE))</formula>
    </cfRule>
  </conditionalFormatting>
  <conditionalFormatting sqref="G66:G76">
    <cfRule type="expression" dxfId="2" priority="162">
      <formula>AND(G66&lt;&gt;"",G$77&lt;&gt;"",G66&lt;&gt;G$77,IFERROR(SIGN(VALUE(LEFT(G66,FIND("x",G66)-1))-VALUE(MID(G66,FIND("x",G66)+1,99)))=SIGN(VALUE(LEFT(G$77,FIND("x",G$77)-1))-VALUE(MID(G$77,FIND("x",G$77)+1,99))),FALSE),IFERROR(VALUE(LEFT(G$77,FIND("x",G$77)-1))&lt;&gt;VALUE(MID(G$77,FIND("x",G$77)+1,99)),FALSE))</formula>
    </cfRule>
  </conditionalFormatting>
  <conditionalFormatting sqref="K66:K76">
    <cfRule type="expression" dxfId="0" priority="163">
      <formula>AND(K66&lt;&gt;"",K$77&lt;&gt;"",K66=K$77)</formula>
    </cfRule>
  </conditionalFormatting>
  <conditionalFormatting sqref="K66:K76">
    <cfRule type="expression" dxfId="1" priority="164">
      <formula>AND(K66&lt;&gt;"",K$77&lt;&gt;"",K66&lt;&gt;K$77,IFERROR(VALUE(LEFT(K66,FIND("x",K66)-1))=VALUE(MID(K66,FIND("x",K66)+1,99)),FALSE),IFERROR(VALUE(LEFT(K$77,FIND("x",K$77)-1))=VALUE(MID(K$77,FIND("x",K$77)+1,99)),FALSE))</formula>
    </cfRule>
  </conditionalFormatting>
  <conditionalFormatting sqref="K66:K76">
    <cfRule type="expression" dxfId="2" priority="165">
      <formula>AND(K66&lt;&gt;"",K$77&lt;&gt;"",K66&lt;&gt;K$77,IFERROR(SIGN(VALUE(LEFT(K66,FIND("x",K66)-1))-VALUE(MID(K66,FIND("x",K66)+1,99)))=SIGN(VALUE(LEFT(K$77,FIND("x",K$77)-1))-VALUE(MID(K$77,FIND("x",K$77)+1,99))),FALSE),IFERROR(VALUE(LEFT(K$77,FIND("x",K$77)-1))&lt;&gt;VALUE(MID(K$77,FIND("x",K$77)+1,99)),FALSE))</formula>
    </cfRule>
  </conditionalFormatting>
  <conditionalFormatting sqref="L66:L76">
    <cfRule type="expression" dxfId="0" priority="166">
      <formula>AND(L66&lt;&gt;"",L$77&lt;&gt;"",L66=L$77)</formula>
    </cfRule>
  </conditionalFormatting>
  <conditionalFormatting sqref="L66:L76">
    <cfRule type="expression" dxfId="1" priority="167">
      <formula>AND(L66&lt;&gt;"",L$77&lt;&gt;"",L66&lt;&gt;L$77,IFERROR(VALUE(LEFT(L66,FIND("x",L66)-1))=VALUE(MID(L66,FIND("x",L66)+1,99)),FALSE),IFERROR(VALUE(LEFT(L$77,FIND("x",L$77)-1))=VALUE(MID(L$77,FIND("x",L$77)+1,99)),FALSE))</formula>
    </cfRule>
  </conditionalFormatting>
  <conditionalFormatting sqref="L66:L76">
    <cfRule type="expression" dxfId="2" priority="168">
      <formula>AND(L66&lt;&gt;"",L$77&lt;&gt;"",L66&lt;&gt;L$77,IFERROR(SIGN(VALUE(LEFT(L66,FIND("x",L66)-1))-VALUE(MID(L66,FIND("x",L66)+1,99)))=SIGN(VALUE(LEFT(L$77,FIND("x",L$77)-1))-VALUE(MID(L$77,FIND("x",L$77)+1,99))),FALSE),IFERROR(VALUE(LEFT(L$77,FIND("x",L$77)-1))&lt;&gt;VALUE(MID(L$77,FIND("x",L$77)+1,99)),FALSE))</formula>
    </cfRule>
  </conditionalFormatting>
  <conditionalFormatting sqref="M66:M76">
    <cfRule type="expression" dxfId="0" priority="169">
      <formula>AND(M66&lt;&gt;"",M$77&lt;&gt;"",M66=M$77)</formula>
    </cfRule>
  </conditionalFormatting>
  <conditionalFormatting sqref="M66:M76">
    <cfRule type="expression" dxfId="1" priority="170">
      <formula>AND(M66&lt;&gt;"",M$77&lt;&gt;"",M66&lt;&gt;M$77,IFERROR(VALUE(LEFT(M66,FIND("x",M66)-1))=VALUE(MID(M66,FIND("x",M66)+1,99)),FALSE),IFERROR(VALUE(LEFT(M$77,FIND("x",M$77)-1))=VALUE(MID(M$77,FIND("x",M$77)+1,99)),FALSE))</formula>
    </cfRule>
  </conditionalFormatting>
  <conditionalFormatting sqref="M66:M76">
    <cfRule type="expression" dxfId="2" priority="171">
      <formula>AND(M66&lt;&gt;"",M$77&lt;&gt;"",M66&lt;&gt;M$77,IFERROR(SIGN(VALUE(LEFT(M66,FIND("x",M66)-1))-VALUE(MID(M66,FIND("x",M66)+1,99)))=SIGN(VALUE(LEFT(M$77,FIND("x",M$77)-1))-VALUE(MID(M$77,FIND("x",M$77)+1,99))),FALSE),IFERROR(VALUE(LEFT(M$77,FIND("x",M$77)-1))&lt;&gt;VALUE(MID(M$77,FIND("x",M$77)+1,99)),FALSE))</formula>
    </cfRule>
  </conditionalFormatting>
  <conditionalFormatting sqref="N66:N76">
    <cfRule type="expression" dxfId="0" priority="172">
      <formula>AND(N66&lt;&gt;"",N$77&lt;&gt;"",N66=N$77)</formula>
    </cfRule>
  </conditionalFormatting>
  <conditionalFormatting sqref="N66:N76">
    <cfRule type="expression" dxfId="1" priority="173">
      <formula>AND(N66&lt;&gt;"",N$77&lt;&gt;"",N66&lt;&gt;N$77,IFERROR(VALUE(LEFT(N66,FIND("x",N66)-1))=VALUE(MID(N66,FIND("x",N66)+1,99)),FALSE),IFERROR(VALUE(LEFT(N$77,FIND("x",N$77)-1))=VALUE(MID(N$77,FIND("x",N$77)+1,99)),FALSE))</formula>
    </cfRule>
  </conditionalFormatting>
  <conditionalFormatting sqref="N66:N76">
    <cfRule type="expression" dxfId="2" priority="174">
      <formula>AND(N66&lt;&gt;"",N$77&lt;&gt;"",N66&lt;&gt;N$77,IFERROR(SIGN(VALUE(LEFT(N66,FIND("x",N66)-1))-VALUE(MID(N66,FIND("x",N66)+1,99)))=SIGN(VALUE(LEFT(N$77,FIND("x",N$77)-1))-VALUE(MID(N$77,FIND("x",N$77)+1,99))),FALSE),IFERROR(VALUE(LEFT(N$77,FIND("x",N$77)-1))&lt;&gt;VALUE(MID(N$77,FIND("x",N$77)+1,99)),FALSE))</formula>
    </cfRule>
  </conditionalFormatting>
  <conditionalFormatting sqref="O66:O76">
    <cfRule type="expression" dxfId="0" priority="175">
      <formula>AND(O66&lt;&gt;"",O$77&lt;&gt;"",O66=O$77)</formula>
    </cfRule>
  </conditionalFormatting>
  <conditionalFormatting sqref="O66:O76">
    <cfRule type="expression" dxfId="1" priority="176">
      <formula>AND(O66&lt;&gt;"",O$77&lt;&gt;"",O66&lt;&gt;O$77,IFERROR(VALUE(LEFT(O66,FIND("x",O66)-1))=VALUE(MID(O66,FIND("x",O66)+1,99)),FALSE),IFERROR(VALUE(LEFT(O$77,FIND("x",O$77)-1))=VALUE(MID(O$77,FIND("x",O$77)+1,99)),FALSE))</formula>
    </cfRule>
  </conditionalFormatting>
  <conditionalFormatting sqref="O66:O76">
    <cfRule type="expression" dxfId="2" priority="177">
      <formula>AND(O66&lt;&gt;"",O$77&lt;&gt;"",O66&lt;&gt;O$77,IFERROR(SIGN(VALUE(LEFT(O66,FIND("x",O66)-1))-VALUE(MID(O66,FIND("x",O66)+1,99)))=SIGN(VALUE(LEFT(O$77,FIND("x",O$77)-1))-VALUE(MID(O$77,FIND("x",O$77)+1,99))),FALSE),IFERROR(VALUE(LEFT(O$77,FIND("x",O$77)-1))&lt;&gt;VALUE(MID(O$77,FIND("x",O$77)+1,99)),FALSE))</formula>
    </cfRule>
  </conditionalFormatting>
  <conditionalFormatting sqref="P66:P76">
    <cfRule type="expression" dxfId="0" priority="178">
      <formula>AND(P66&lt;&gt;"",P$77&lt;&gt;"",P66=P$77)</formula>
    </cfRule>
  </conditionalFormatting>
  <conditionalFormatting sqref="P66:P76">
    <cfRule type="expression" dxfId="1" priority="179">
      <formula>AND(P66&lt;&gt;"",P$77&lt;&gt;"",P66&lt;&gt;P$77,IFERROR(VALUE(LEFT(P66,FIND("x",P66)-1))=VALUE(MID(P66,FIND("x",P66)+1,99)),FALSE),IFERROR(VALUE(LEFT(P$77,FIND("x",P$77)-1))=VALUE(MID(P$77,FIND("x",P$77)+1,99)),FALSE))</formula>
    </cfRule>
  </conditionalFormatting>
  <conditionalFormatting sqref="P66:P76">
    <cfRule type="expression" dxfId="2" priority="180">
      <formula>AND(P66&lt;&gt;"",P$77&lt;&gt;"",P66&lt;&gt;P$77,IFERROR(SIGN(VALUE(LEFT(P66,FIND("x",P66)-1))-VALUE(MID(P66,FIND("x",P66)+1,99)))=SIGN(VALUE(LEFT(P$77,FIND("x",P$77)-1))-VALUE(MID(P$77,FIND("x",P$77)+1,99))),FALSE),IFERROR(VALUE(LEFT(P$77,FIND("x",P$77)-1))&lt;&gt;VALUE(MID(P$77,FIND("x",P$77)+1,99)),FALSE))</formula>
    </cfRule>
  </conditionalFormatting>
  <conditionalFormatting sqref="T66:T76">
    <cfRule type="expression" dxfId="0" priority="181">
      <formula>AND(T66&lt;&gt;"",T$77&lt;&gt;"",T66=T$77)</formula>
    </cfRule>
  </conditionalFormatting>
  <conditionalFormatting sqref="T66:T76">
    <cfRule type="expression" dxfId="1" priority="182">
      <formula>AND(T66&lt;&gt;"",T$77&lt;&gt;"",T66&lt;&gt;T$77,IFERROR(VALUE(LEFT(T66,FIND("x",T66)-1))=VALUE(MID(T66,FIND("x",T66)+1,99)),FALSE),IFERROR(VALUE(LEFT(T$77,FIND("x",T$77)-1))=VALUE(MID(T$77,FIND("x",T$77)+1,99)),FALSE))</formula>
    </cfRule>
  </conditionalFormatting>
  <conditionalFormatting sqref="T66:T76">
    <cfRule type="expression" dxfId="2" priority="183">
      <formula>AND(T66&lt;&gt;"",T$77&lt;&gt;"",T66&lt;&gt;T$77,IFERROR(SIGN(VALUE(LEFT(T66,FIND("x",T66)-1))-VALUE(MID(T66,FIND("x",T66)+1,99)))=SIGN(VALUE(LEFT(T$77,FIND("x",T$77)-1))-VALUE(MID(T$77,FIND("x",T$77)+1,99))),FALSE),IFERROR(VALUE(LEFT(T$77,FIND("x",T$77)-1))&lt;&gt;VALUE(MID(T$77,FIND("x",T$77)+1,99)),FALSE))</formula>
    </cfRule>
  </conditionalFormatting>
  <conditionalFormatting sqref="U66:U76">
    <cfRule type="expression" dxfId="0" priority="184">
      <formula>AND(U66&lt;&gt;"",U$77&lt;&gt;"",U66=U$77)</formula>
    </cfRule>
  </conditionalFormatting>
  <conditionalFormatting sqref="U66:U76">
    <cfRule type="expression" dxfId="1" priority="185">
      <formula>AND(U66&lt;&gt;"",U$77&lt;&gt;"",U66&lt;&gt;U$77,IFERROR(VALUE(LEFT(U66,FIND("x",U66)-1))=VALUE(MID(U66,FIND("x",U66)+1,99)),FALSE),IFERROR(VALUE(LEFT(U$77,FIND("x",U$77)-1))=VALUE(MID(U$77,FIND("x",U$77)+1,99)),FALSE))</formula>
    </cfRule>
  </conditionalFormatting>
  <conditionalFormatting sqref="U66:U76">
    <cfRule type="expression" dxfId="2" priority="186">
      <formula>AND(U66&lt;&gt;"",U$77&lt;&gt;"",U66&lt;&gt;U$77,IFERROR(SIGN(VALUE(LEFT(U66,FIND("x",U66)-1))-VALUE(MID(U66,FIND("x",U66)+1,99)))=SIGN(VALUE(LEFT(U$77,FIND("x",U$77)-1))-VALUE(MID(U$77,FIND("x",U$77)+1,99))),FALSE),IFERROR(VALUE(LEFT(U$77,FIND("x",U$77)-1))&lt;&gt;VALUE(MID(U$77,FIND("x",U$77)+1,99)),FALSE))</formula>
    </cfRule>
  </conditionalFormatting>
  <conditionalFormatting sqref="V66:V76">
    <cfRule type="expression" dxfId="0" priority="187">
      <formula>AND(V66&lt;&gt;"",V$77&lt;&gt;"",V66=V$77)</formula>
    </cfRule>
  </conditionalFormatting>
  <conditionalFormatting sqref="V66:V76">
    <cfRule type="expression" dxfId="1" priority="188">
      <formula>AND(V66&lt;&gt;"",V$77&lt;&gt;"",V66&lt;&gt;V$77,IFERROR(VALUE(LEFT(V66,FIND("x",V66)-1))=VALUE(MID(V66,FIND("x",V66)+1,99)),FALSE),IFERROR(VALUE(LEFT(V$77,FIND("x",V$77)-1))=VALUE(MID(V$77,FIND("x",V$77)+1,99)),FALSE))</formula>
    </cfRule>
  </conditionalFormatting>
  <conditionalFormatting sqref="V66:V76">
    <cfRule type="expression" dxfId="2" priority="189">
      <formula>AND(V66&lt;&gt;"",V$77&lt;&gt;"",V66&lt;&gt;V$77,IFERROR(SIGN(VALUE(LEFT(V66,FIND("x",V66)-1))-VALUE(MID(V66,FIND("x",V66)+1,99)))=SIGN(VALUE(LEFT(V$77,FIND("x",V$77)-1))-VALUE(MID(V$77,FIND("x",V$77)+1,99))),FALSE),IFERROR(VALUE(LEFT(V$77,FIND("x",V$77)-1))&lt;&gt;VALUE(MID(V$77,FIND("x",V$77)+1,99)),FALSE))</formula>
    </cfRule>
  </conditionalFormatting>
  <conditionalFormatting sqref="W66:W76">
    <cfRule type="expression" dxfId="0" priority="190">
      <formula>AND(W66&lt;&gt;"",W$77&lt;&gt;"",W66=W$77)</formula>
    </cfRule>
  </conditionalFormatting>
  <conditionalFormatting sqref="W66:W76">
    <cfRule type="expression" dxfId="1" priority="191">
      <formula>AND(W66&lt;&gt;"",W$77&lt;&gt;"",W66&lt;&gt;W$77,IFERROR(VALUE(LEFT(W66,FIND("x",W66)-1))=VALUE(MID(W66,FIND("x",W66)+1,99)),FALSE),IFERROR(VALUE(LEFT(W$77,FIND("x",W$77)-1))=VALUE(MID(W$77,FIND("x",W$77)+1,99)),FALSE))</formula>
    </cfRule>
  </conditionalFormatting>
  <conditionalFormatting sqref="W66:W76">
    <cfRule type="expression" dxfId="2" priority="192">
      <formula>AND(W66&lt;&gt;"",W$77&lt;&gt;"",W66&lt;&gt;W$77,IFERROR(SIGN(VALUE(LEFT(W66,FIND("x",W66)-1))-VALUE(MID(W66,FIND("x",W66)+1,99)))=SIGN(VALUE(LEFT(W$77,FIND("x",W$77)-1))-VALUE(MID(W$77,FIND("x",W$77)+1,99))),FALSE),IFERROR(VALUE(LEFT(W$77,FIND("x",W$77)-1))&lt;&gt;VALUE(MID(W$77,FIND("x",W$77)+1,99)),FALSE))</formula>
    </cfRule>
  </conditionalFormatting>
  <conditionalFormatting sqref="X66:X76">
    <cfRule type="expression" dxfId="0" priority="193">
      <formula>AND(X66&lt;&gt;"",X$77&lt;&gt;"",X66=X$77)</formula>
    </cfRule>
  </conditionalFormatting>
  <conditionalFormatting sqref="X66:X76">
    <cfRule type="expression" dxfId="1" priority="194">
      <formula>AND(X66&lt;&gt;"",X$77&lt;&gt;"",X66&lt;&gt;X$77,IFERROR(VALUE(LEFT(X66,FIND("x",X66)-1))=VALUE(MID(X66,FIND("x",X66)+1,99)),FALSE),IFERROR(VALUE(LEFT(X$77,FIND("x",X$77)-1))=VALUE(MID(X$77,FIND("x",X$77)+1,99)),FALSE))</formula>
    </cfRule>
  </conditionalFormatting>
  <conditionalFormatting sqref="X66:X76">
    <cfRule type="expression" dxfId="2" priority="195">
      <formula>AND(X66&lt;&gt;"",X$77&lt;&gt;"",X66&lt;&gt;X$77,IFERROR(SIGN(VALUE(LEFT(X66,FIND("x",X66)-1))-VALUE(MID(X66,FIND("x",X66)+1,99)))=SIGN(VALUE(LEFT(X$77,FIND("x",X$77)-1))-VALUE(MID(X$77,FIND("x",X$77)+1,99))),FALSE),IFERROR(VALUE(LEFT(X$77,FIND("x",X$77)-1))&lt;&gt;VALUE(MID(X$77,FIND("x",X$77)+1,99)),FALSE))</formula>
    </cfRule>
  </conditionalFormatting>
  <conditionalFormatting sqref="Y66:Y76">
    <cfRule type="expression" dxfId="0" priority="196">
      <formula>AND(Y66&lt;&gt;"",Y$77&lt;&gt;"",Y66=Y$77)</formula>
    </cfRule>
  </conditionalFormatting>
  <conditionalFormatting sqref="Y66:Y76">
    <cfRule type="expression" dxfId="1" priority="197">
      <formula>AND(Y66&lt;&gt;"",Y$77&lt;&gt;"",Y66&lt;&gt;Y$77,IFERROR(VALUE(LEFT(Y66,FIND("x",Y66)-1))=VALUE(MID(Y66,FIND("x",Y66)+1,99)),FALSE),IFERROR(VALUE(LEFT(Y$77,FIND("x",Y$77)-1))=VALUE(MID(Y$77,FIND("x",Y$77)+1,99)),FALSE))</formula>
    </cfRule>
  </conditionalFormatting>
  <conditionalFormatting sqref="Y66:Y76">
    <cfRule type="expression" dxfId="2" priority="198">
      <formula>AND(Y66&lt;&gt;"",Y$77&lt;&gt;"",Y66&lt;&gt;Y$77,IFERROR(SIGN(VALUE(LEFT(Y66,FIND("x",Y66)-1))-VALUE(MID(Y66,FIND("x",Y66)+1,99)))=SIGN(VALUE(LEFT(Y$77,FIND("x",Y$77)-1))-VALUE(MID(Y$77,FIND("x",Y$77)+1,99))),FALSE),IFERROR(VALUE(LEFT(Y$77,FIND("x",Y$77)-1))&lt;&gt;VALUE(MID(Y$77,FIND("x",Y$77)+1,99)),FALSE))</formula>
    </cfRule>
  </conditionalFormatting>
  <conditionalFormatting sqref="B83:B93">
    <cfRule type="expression" dxfId="0" priority="199">
      <formula>AND(B83&lt;&gt;"",B$94&lt;&gt;"",B83=B$94)</formula>
    </cfRule>
  </conditionalFormatting>
  <conditionalFormatting sqref="B83:B93">
    <cfRule type="expression" dxfId="1" priority="200">
      <formula>AND(B83&lt;&gt;"",B$94&lt;&gt;"",B83&lt;&gt;B$94,IFERROR(VALUE(LEFT(B83,FIND("x",B83)-1))=VALUE(MID(B83,FIND("x",B83)+1,99)),FALSE),IFERROR(VALUE(LEFT(B$94,FIND("x",B$94)-1))=VALUE(MID(B$94,FIND("x",B$94)+1,99)),FALSE))</formula>
    </cfRule>
  </conditionalFormatting>
  <conditionalFormatting sqref="B83:B93">
    <cfRule type="expression" dxfId="2" priority="201">
      <formula>AND(B83&lt;&gt;"",B$94&lt;&gt;"",B83&lt;&gt;B$94,IFERROR(SIGN(VALUE(LEFT(B83,FIND("x",B83)-1))-VALUE(MID(B83,FIND("x",B83)+1,99)))=SIGN(VALUE(LEFT(B$94,FIND("x",B$94)-1))-VALUE(MID(B$94,FIND("x",B$94)+1,99))),FALSE),IFERROR(VALUE(LEFT(B$94,FIND("x",B$94)-1))&lt;&gt;VALUE(MID(B$94,FIND("x",B$94)+1,99)),FALSE))</formula>
    </cfRule>
  </conditionalFormatting>
  <conditionalFormatting sqref="C83:C93">
    <cfRule type="expression" dxfId="0" priority="202">
      <formula>AND(C83&lt;&gt;"",C$94&lt;&gt;"",C83=C$94)</formula>
    </cfRule>
  </conditionalFormatting>
  <conditionalFormatting sqref="C83:C93">
    <cfRule type="expression" dxfId="1" priority="203">
      <formula>AND(C83&lt;&gt;"",C$94&lt;&gt;"",C83&lt;&gt;C$94,IFERROR(VALUE(LEFT(C83,FIND("x",C83)-1))=VALUE(MID(C83,FIND("x",C83)+1,99)),FALSE),IFERROR(VALUE(LEFT(C$94,FIND("x",C$94)-1))=VALUE(MID(C$94,FIND("x",C$94)+1,99)),FALSE))</formula>
    </cfRule>
  </conditionalFormatting>
  <conditionalFormatting sqref="C83:C93">
    <cfRule type="expression" dxfId="2" priority="204">
      <formula>AND(C83&lt;&gt;"",C$94&lt;&gt;"",C83&lt;&gt;C$94,IFERROR(SIGN(VALUE(LEFT(C83,FIND("x",C83)-1))-VALUE(MID(C83,FIND("x",C83)+1,99)))=SIGN(VALUE(LEFT(C$94,FIND("x",C$94)-1))-VALUE(MID(C$94,FIND("x",C$94)+1,99))),FALSE),IFERROR(VALUE(LEFT(C$94,FIND("x",C$94)-1))&lt;&gt;VALUE(MID(C$94,FIND("x",C$94)+1,99)),FALSE))</formula>
    </cfRule>
  </conditionalFormatting>
  <conditionalFormatting sqref="D83:D93">
    <cfRule type="expression" dxfId="0" priority="205">
      <formula>AND(D83&lt;&gt;"",D$94&lt;&gt;"",D83=D$94)</formula>
    </cfRule>
  </conditionalFormatting>
  <conditionalFormatting sqref="D83:D93">
    <cfRule type="expression" dxfId="1" priority="206">
      <formula>AND(D83&lt;&gt;"",D$94&lt;&gt;"",D83&lt;&gt;D$94,IFERROR(VALUE(LEFT(D83,FIND("x",D83)-1))=VALUE(MID(D83,FIND("x",D83)+1,99)),FALSE),IFERROR(VALUE(LEFT(D$94,FIND("x",D$94)-1))=VALUE(MID(D$94,FIND("x",D$94)+1,99)),FALSE))</formula>
    </cfRule>
  </conditionalFormatting>
  <conditionalFormatting sqref="D83:D93">
    <cfRule type="expression" dxfId="2" priority="207">
      <formula>AND(D83&lt;&gt;"",D$94&lt;&gt;"",D83&lt;&gt;D$94,IFERROR(SIGN(VALUE(LEFT(D83,FIND("x",D83)-1))-VALUE(MID(D83,FIND("x",D83)+1,99)))=SIGN(VALUE(LEFT(D$94,FIND("x",D$94)-1))-VALUE(MID(D$94,FIND("x",D$94)+1,99))),FALSE),IFERROR(VALUE(LEFT(D$94,FIND("x",D$94)-1))&lt;&gt;VALUE(MID(D$94,FIND("x",D$94)+1,99)),FALSE))</formula>
    </cfRule>
  </conditionalFormatting>
  <conditionalFormatting sqref="E83:E93">
    <cfRule type="expression" dxfId="0" priority="208">
      <formula>AND(E83&lt;&gt;"",E$94&lt;&gt;"",E83=E$94)</formula>
    </cfRule>
  </conditionalFormatting>
  <conditionalFormatting sqref="E83:E93">
    <cfRule type="expression" dxfId="1" priority="209">
      <formula>AND(E83&lt;&gt;"",E$94&lt;&gt;"",E83&lt;&gt;E$94,IFERROR(VALUE(LEFT(E83,FIND("x",E83)-1))=VALUE(MID(E83,FIND("x",E83)+1,99)),FALSE),IFERROR(VALUE(LEFT(E$94,FIND("x",E$94)-1))=VALUE(MID(E$94,FIND("x",E$94)+1,99)),FALSE))</formula>
    </cfRule>
  </conditionalFormatting>
  <conditionalFormatting sqref="E83:E93">
    <cfRule type="expression" dxfId="2" priority="210">
      <formula>AND(E83&lt;&gt;"",E$94&lt;&gt;"",E83&lt;&gt;E$94,IFERROR(SIGN(VALUE(LEFT(E83,FIND("x",E83)-1))-VALUE(MID(E83,FIND("x",E83)+1,99)))=SIGN(VALUE(LEFT(E$94,FIND("x",E$94)-1))-VALUE(MID(E$94,FIND("x",E$94)+1,99))),FALSE),IFERROR(VALUE(LEFT(E$94,FIND("x",E$94)-1))&lt;&gt;VALUE(MID(E$94,FIND("x",E$94)+1,99)),FALSE))</formula>
    </cfRule>
  </conditionalFormatting>
  <conditionalFormatting sqref="F83:F93">
    <cfRule type="expression" dxfId="0" priority="211">
      <formula>AND(F83&lt;&gt;"",F$94&lt;&gt;"",F83=F$94)</formula>
    </cfRule>
  </conditionalFormatting>
  <conditionalFormatting sqref="F83:F93">
    <cfRule type="expression" dxfId="1" priority="212">
      <formula>AND(F83&lt;&gt;"",F$94&lt;&gt;"",F83&lt;&gt;F$94,IFERROR(VALUE(LEFT(F83,FIND("x",F83)-1))=VALUE(MID(F83,FIND("x",F83)+1,99)),FALSE),IFERROR(VALUE(LEFT(F$94,FIND("x",F$94)-1))=VALUE(MID(F$94,FIND("x",F$94)+1,99)),FALSE))</formula>
    </cfRule>
  </conditionalFormatting>
  <conditionalFormatting sqref="F83:F93">
    <cfRule type="expression" dxfId="2" priority="213">
      <formula>AND(F83&lt;&gt;"",F$94&lt;&gt;"",F83&lt;&gt;F$94,IFERROR(SIGN(VALUE(LEFT(F83,FIND("x",F83)-1))-VALUE(MID(F83,FIND("x",F83)+1,99)))=SIGN(VALUE(LEFT(F$94,FIND("x",F$94)-1))-VALUE(MID(F$94,FIND("x",F$94)+1,99))),FALSE),IFERROR(VALUE(LEFT(F$94,FIND("x",F$94)-1))&lt;&gt;VALUE(MID(F$94,FIND("x",F$94)+1,99)),FALSE))</formula>
    </cfRule>
  </conditionalFormatting>
  <conditionalFormatting sqref="G83:G93">
    <cfRule type="expression" dxfId="0" priority="214">
      <formula>AND(G83&lt;&gt;"",G$94&lt;&gt;"",G83=G$94)</formula>
    </cfRule>
  </conditionalFormatting>
  <conditionalFormatting sqref="G83:G93">
    <cfRule type="expression" dxfId="1" priority="215">
      <formula>AND(G83&lt;&gt;"",G$94&lt;&gt;"",G83&lt;&gt;G$94,IFERROR(VALUE(LEFT(G83,FIND("x",G83)-1))=VALUE(MID(G83,FIND("x",G83)+1,99)),FALSE),IFERROR(VALUE(LEFT(G$94,FIND("x",G$94)-1))=VALUE(MID(G$94,FIND("x",G$94)+1,99)),FALSE))</formula>
    </cfRule>
  </conditionalFormatting>
  <conditionalFormatting sqref="G83:G93">
    <cfRule type="expression" dxfId="2" priority="216">
      <formula>AND(G83&lt;&gt;"",G$94&lt;&gt;"",G83&lt;&gt;G$94,IFERROR(SIGN(VALUE(LEFT(G83,FIND("x",G83)-1))-VALUE(MID(G83,FIND("x",G83)+1,99)))=SIGN(VALUE(LEFT(G$94,FIND("x",G$94)-1))-VALUE(MID(G$94,FIND("x",G$94)+1,99))),FALSE),IFERROR(VALUE(LEFT(G$94,FIND("x",G$94)-1))&lt;&gt;VALUE(MID(G$94,FIND("x",G$94)+1,99)),FALSE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75"/>
    <col customWidth="1" min="3" max="3" width="18.63"/>
    <col customWidth="1" min="4" max="4" width="12.63"/>
    <col customWidth="1" min="5" max="5" width="17.13"/>
    <col customWidth="1" min="6" max="6" width="12.63"/>
    <col customWidth="1" min="8" max="8" width="20.5"/>
  </cols>
  <sheetData>
    <row r="1" ht="15.75" customHeight="1"/>
    <row r="2" ht="15.75" customHeight="1">
      <c r="A2" s="4" t="s">
        <v>207</v>
      </c>
      <c r="B2" s="4" t="s">
        <v>208</v>
      </c>
      <c r="C2" s="4" t="s">
        <v>209</v>
      </c>
    </row>
    <row r="3" ht="15.75" customHeight="1">
      <c r="A3" s="6">
        <v>1.0</v>
      </c>
      <c r="B3" s="6" t="s">
        <v>71</v>
      </c>
      <c r="C3" s="6" t="s">
        <v>210</v>
      </c>
    </row>
    <row r="4" ht="15.75" customHeight="1">
      <c r="A4" s="6">
        <v>2.0</v>
      </c>
      <c r="B4" s="6" t="s">
        <v>92</v>
      </c>
      <c r="C4" s="6" t="s">
        <v>211</v>
      </c>
    </row>
    <row r="5" ht="15.75" customHeight="1">
      <c r="A5" s="6">
        <v>3.0</v>
      </c>
      <c r="B5" s="6" t="s">
        <v>48</v>
      </c>
      <c r="C5" s="6" t="s">
        <v>212</v>
      </c>
    </row>
    <row r="6" ht="15.75" customHeight="1">
      <c r="A6" s="6">
        <v>4.0</v>
      </c>
      <c r="B6" s="6" t="s">
        <v>55</v>
      </c>
      <c r="C6" s="6" t="s">
        <v>213</v>
      </c>
      <c r="H6" s="5" t="s">
        <v>214</v>
      </c>
      <c r="I6" s="5" t="s">
        <v>215</v>
      </c>
    </row>
    <row r="7" ht="15.75" customHeight="1">
      <c r="A7" s="6">
        <v>5.0</v>
      </c>
      <c r="B7" s="6" t="s">
        <v>51</v>
      </c>
      <c r="C7" s="6" t="s">
        <v>213</v>
      </c>
      <c r="H7" s="5" t="s">
        <v>216</v>
      </c>
      <c r="I7" s="5" t="s">
        <v>217</v>
      </c>
    </row>
    <row r="8" ht="15.75" customHeight="1">
      <c r="A8" s="6">
        <v>6.0</v>
      </c>
      <c r="B8" s="6" t="s">
        <v>45</v>
      </c>
      <c r="C8" s="6" t="s">
        <v>218</v>
      </c>
    </row>
    <row r="9" ht="15.75" customHeight="1">
      <c r="A9" s="6">
        <v>7.0</v>
      </c>
      <c r="B9" s="6" t="s">
        <v>60</v>
      </c>
      <c r="C9" s="6" t="s">
        <v>218</v>
      </c>
    </row>
    <row r="10" ht="15.75" customHeight="1">
      <c r="A10" s="6">
        <v>8.0</v>
      </c>
      <c r="B10" s="6" t="s">
        <v>66</v>
      </c>
      <c r="C10" s="6" t="s">
        <v>218</v>
      </c>
    </row>
    <row r="11" ht="15.75" customHeight="1">
      <c r="A11" s="6">
        <v>9.0</v>
      </c>
      <c r="B11" s="6" t="s">
        <v>69</v>
      </c>
      <c r="C11" s="6" t="s">
        <v>218</v>
      </c>
    </row>
    <row r="12" ht="15.75" customHeight="1">
      <c r="A12" s="6">
        <v>10.0</v>
      </c>
      <c r="B12" s="6" t="s">
        <v>73</v>
      </c>
      <c r="C12" s="6" t="s">
        <v>218</v>
      </c>
    </row>
    <row r="13" ht="15.75" customHeight="1">
      <c r="A13" s="6">
        <v>11.0</v>
      </c>
      <c r="B13" s="6" t="s">
        <v>219</v>
      </c>
      <c r="C13" s="6" t="s">
        <v>218</v>
      </c>
    </row>
    <row r="14" ht="15.75" customHeight="1">
      <c r="A14" s="6">
        <v>12.0</v>
      </c>
      <c r="B14" s="6" t="s">
        <v>63</v>
      </c>
      <c r="C14" s="6" t="s">
        <v>220</v>
      </c>
      <c r="F14" s="15" t="s">
        <v>221</v>
      </c>
    </row>
    <row r="15" ht="15.75" customHeight="1">
      <c r="A15" s="6">
        <v>13.0</v>
      </c>
      <c r="B15" s="6" t="s">
        <v>78</v>
      </c>
      <c r="C15" s="6" t="s">
        <v>220</v>
      </c>
      <c r="E15" s="6" t="s">
        <v>28</v>
      </c>
      <c r="F15" s="6" t="s">
        <v>222</v>
      </c>
    </row>
    <row r="16" ht="15.75" customHeight="1">
      <c r="A16" s="6">
        <v>14.0</v>
      </c>
      <c r="B16" s="6" t="s">
        <v>28</v>
      </c>
      <c r="C16" s="6" t="s">
        <v>222</v>
      </c>
      <c r="E16" s="6" t="s">
        <v>39</v>
      </c>
      <c r="F16" s="6" t="s">
        <v>222</v>
      </c>
    </row>
    <row r="17" ht="15.75" customHeight="1">
      <c r="A17" s="6">
        <v>15.0</v>
      </c>
      <c r="B17" s="6" t="s">
        <v>39</v>
      </c>
      <c r="C17" s="6" t="s">
        <v>222</v>
      </c>
      <c r="E17" s="6" t="s">
        <v>45</v>
      </c>
      <c r="F17" s="6" t="s">
        <v>218</v>
      </c>
    </row>
    <row r="18" ht="15.75" customHeight="1">
      <c r="A18" s="6">
        <v>16.0</v>
      </c>
      <c r="B18" s="6" t="s">
        <v>49</v>
      </c>
      <c r="C18" s="6" t="s">
        <v>222</v>
      </c>
      <c r="E18" s="18" t="s">
        <v>49</v>
      </c>
      <c r="F18" s="6" t="s">
        <v>222</v>
      </c>
    </row>
    <row r="19" ht="15.75" customHeight="1">
      <c r="A19" s="6">
        <v>17.0</v>
      </c>
      <c r="B19" s="6" t="s">
        <v>74</v>
      </c>
      <c r="C19" s="6" t="s">
        <v>222</v>
      </c>
      <c r="E19" s="6" t="s">
        <v>48</v>
      </c>
      <c r="F19" s="6" t="s">
        <v>212</v>
      </c>
    </row>
    <row r="20" ht="15.75" customHeight="1">
      <c r="A20" s="6">
        <v>18.0</v>
      </c>
      <c r="B20" s="6" t="s">
        <v>81</v>
      </c>
      <c r="C20" s="6" t="s">
        <v>222</v>
      </c>
      <c r="E20" s="6" t="s">
        <v>55</v>
      </c>
      <c r="F20" s="6" t="s">
        <v>213</v>
      </c>
    </row>
    <row r="21" ht="15.75" customHeight="1">
      <c r="A21" s="6">
        <v>19.0</v>
      </c>
      <c r="B21" s="6" t="s">
        <v>62</v>
      </c>
      <c r="C21" s="6" t="s">
        <v>222</v>
      </c>
      <c r="E21" s="6" t="s">
        <v>51</v>
      </c>
      <c r="F21" s="6" t="s">
        <v>213</v>
      </c>
    </row>
    <row r="22" ht="15.75" customHeight="1">
      <c r="A22" s="6">
        <v>20.0</v>
      </c>
      <c r="B22" s="6" t="s">
        <v>83</v>
      </c>
      <c r="C22" s="6" t="s">
        <v>222</v>
      </c>
      <c r="E22" s="6" t="s">
        <v>60</v>
      </c>
      <c r="F22" s="6" t="s">
        <v>218</v>
      </c>
    </row>
    <row r="23" ht="15.75" customHeight="1">
      <c r="A23" s="6">
        <v>21.0</v>
      </c>
      <c r="B23" s="6" t="s">
        <v>93</v>
      </c>
      <c r="C23" s="6" t="s">
        <v>222</v>
      </c>
      <c r="E23" s="18" t="s">
        <v>63</v>
      </c>
      <c r="F23" s="6" t="s">
        <v>220</v>
      </c>
    </row>
    <row r="24" ht="15.75" customHeight="1">
      <c r="A24" s="6">
        <v>22.0</v>
      </c>
      <c r="B24" s="6" t="s">
        <v>89</v>
      </c>
      <c r="C24" s="6" t="s">
        <v>223</v>
      </c>
      <c r="E24" s="6" t="s">
        <v>66</v>
      </c>
      <c r="F24" s="6" t="s">
        <v>218</v>
      </c>
    </row>
    <row r="25" ht="15.75" customHeight="1">
      <c r="E25" s="6" t="s">
        <v>69</v>
      </c>
      <c r="F25" s="6" t="s">
        <v>218</v>
      </c>
      <c r="H25" s="6"/>
      <c r="I25" s="6"/>
    </row>
    <row r="26" ht="15.75" customHeight="1">
      <c r="E26" s="6" t="s">
        <v>71</v>
      </c>
      <c r="F26" s="6" t="s">
        <v>210</v>
      </c>
      <c r="H26" s="6"/>
      <c r="I26" s="6"/>
    </row>
    <row r="27" ht="15.75" customHeight="1">
      <c r="E27" s="6" t="s">
        <v>73</v>
      </c>
      <c r="F27" s="6" t="s">
        <v>218</v>
      </c>
      <c r="H27" s="6"/>
      <c r="I27" s="6"/>
    </row>
    <row r="28" ht="15.75" customHeight="1">
      <c r="E28" s="6" t="s">
        <v>74</v>
      </c>
      <c r="F28" s="6" t="s">
        <v>222</v>
      </c>
      <c r="H28" s="6"/>
      <c r="I28" s="6"/>
    </row>
    <row r="29" ht="15.75" customHeight="1">
      <c r="E29" s="6" t="s">
        <v>78</v>
      </c>
      <c r="F29" s="6" t="s">
        <v>220</v>
      </c>
      <c r="H29" s="6"/>
      <c r="I29" s="6"/>
    </row>
    <row r="30" ht="15.75" customHeight="1">
      <c r="E30" s="6" t="s">
        <v>81</v>
      </c>
      <c r="F30" s="6" t="s">
        <v>222</v>
      </c>
      <c r="H30" s="6"/>
      <c r="I30" s="6"/>
    </row>
    <row r="31" ht="15.75" customHeight="1">
      <c r="E31" s="18" t="s">
        <v>224</v>
      </c>
      <c r="F31" s="6" t="s">
        <v>222</v>
      </c>
      <c r="H31" s="6"/>
      <c r="I31" s="6"/>
    </row>
    <row r="32" ht="15.75" customHeight="1">
      <c r="E32" s="6" t="s">
        <v>83</v>
      </c>
      <c r="F32" s="6" t="s">
        <v>222</v>
      </c>
      <c r="H32" s="6"/>
      <c r="I32" s="6"/>
    </row>
    <row r="33" ht="15.75" customHeight="1">
      <c r="E33" s="6" t="s">
        <v>89</v>
      </c>
      <c r="F33" s="6" t="s">
        <v>223</v>
      </c>
      <c r="H33" s="6"/>
      <c r="I33" s="6"/>
    </row>
    <row r="34" ht="15.75" customHeight="1">
      <c r="E34" s="18" t="s">
        <v>92</v>
      </c>
      <c r="F34" s="6" t="s">
        <v>211</v>
      </c>
      <c r="H34" s="6"/>
      <c r="I34" s="6"/>
    </row>
    <row r="35" ht="15.75" customHeight="1">
      <c r="E35" s="18" t="s">
        <v>219</v>
      </c>
      <c r="F35" s="6" t="s">
        <v>218</v>
      </c>
      <c r="H35" s="6"/>
      <c r="I35" s="6"/>
    </row>
    <row r="36" ht="15.75" customHeight="1">
      <c r="E36" s="6" t="s">
        <v>93</v>
      </c>
      <c r="F36" s="6" t="s">
        <v>222</v>
      </c>
      <c r="H36" s="6"/>
      <c r="I36" s="6"/>
    </row>
    <row r="37" ht="15.75" customHeight="1">
      <c r="H37" s="6"/>
      <c r="I37" s="6"/>
    </row>
    <row r="38" ht="15.75" customHeight="1">
      <c r="H38" s="6"/>
      <c r="I38" s="6"/>
    </row>
    <row r="39" ht="15.75" customHeight="1">
      <c r="H39" s="6"/>
      <c r="I39" s="6"/>
    </row>
    <row r="40" ht="15.75" customHeight="1">
      <c r="H40" s="6"/>
      <c r="I40" s="6"/>
    </row>
    <row r="41" ht="15.75" customHeight="1">
      <c r="H41" s="6"/>
      <c r="I41" s="6"/>
    </row>
    <row r="42" ht="15.75" customHeight="1">
      <c r="H42" s="6"/>
      <c r="I42" s="6"/>
    </row>
    <row r="43" ht="15.75" customHeight="1">
      <c r="H43" s="6"/>
      <c r="I43" s="6"/>
    </row>
    <row r="44" ht="15.75" customHeight="1">
      <c r="H44" s="6"/>
      <c r="I44" s="6"/>
    </row>
    <row r="45" ht="15.75" customHeight="1">
      <c r="H45" s="6"/>
      <c r="I45" s="6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4" width="12.63"/>
    <col customWidth="1" min="5" max="5" width="17.13"/>
    <col customWidth="1" min="6" max="6" width="12.63"/>
  </cols>
  <sheetData>
    <row r="1" ht="15.75" customHeight="1"/>
    <row r="2" ht="15.75" customHeight="1">
      <c r="A2" s="5" t="s">
        <v>225</v>
      </c>
    </row>
    <row r="3" ht="15.75" customHeight="1"/>
    <row r="4" ht="15.75" customHeight="1">
      <c r="A4" s="6" t="s">
        <v>226</v>
      </c>
      <c r="B4" s="6" t="s">
        <v>227</v>
      </c>
      <c r="C4" s="6" t="s">
        <v>228</v>
      </c>
      <c r="F4" s="5" t="s">
        <v>229</v>
      </c>
    </row>
    <row r="5" ht="15.75" customHeight="1">
      <c r="A5" s="5" t="s">
        <v>28</v>
      </c>
      <c r="B5" s="6"/>
      <c r="C5" s="6"/>
      <c r="F5" s="5" t="s">
        <v>230</v>
      </c>
    </row>
    <row r="6" ht="15.75" customHeight="1">
      <c r="A6" s="5" t="s">
        <v>39</v>
      </c>
      <c r="B6" s="6"/>
      <c r="C6" s="6"/>
      <c r="F6" s="5" t="s">
        <v>230</v>
      </c>
    </row>
    <row r="7" ht="15.75" customHeight="1">
      <c r="A7" s="6" t="s">
        <v>38</v>
      </c>
      <c r="B7" s="6"/>
      <c r="C7" s="6"/>
      <c r="F7" s="5" t="s">
        <v>230</v>
      </c>
    </row>
    <row r="8" ht="15.75" customHeight="1">
      <c r="A8" s="6" t="s">
        <v>45</v>
      </c>
      <c r="B8" s="6"/>
      <c r="C8" s="6"/>
      <c r="F8" s="5" t="s">
        <v>230</v>
      </c>
    </row>
    <row r="9" ht="15.75" customHeight="1">
      <c r="A9" s="6" t="s">
        <v>48</v>
      </c>
      <c r="B9" s="6" t="s">
        <v>231</v>
      </c>
      <c r="C9" s="19">
        <v>46183.0</v>
      </c>
      <c r="F9" s="5" t="s">
        <v>230</v>
      </c>
    </row>
    <row r="10" ht="15.75" customHeight="1">
      <c r="A10" s="6" t="s">
        <v>51</v>
      </c>
      <c r="B10" s="6"/>
      <c r="C10" s="6"/>
      <c r="F10" s="5" t="s">
        <v>230</v>
      </c>
    </row>
    <row r="11" ht="15.75" customHeight="1">
      <c r="A11" s="5" t="s">
        <v>60</v>
      </c>
      <c r="B11" s="6"/>
      <c r="C11" s="6"/>
      <c r="F11" s="5" t="s">
        <v>230</v>
      </c>
    </row>
    <row r="12" ht="15.75" customHeight="1">
      <c r="A12" s="6" t="s">
        <v>54</v>
      </c>
      <c r="B12" s="6"/>
      <c r="C12" s="6"/>
      <c r="F12" s="5" t="s">
        <v>230</v>
      </c>
    </row>
    <row r="13" ht="15.75" customHeight="1">
      <c r="A13" s="5" t="s">
        <v>66</v>
      </c>
      <c r="B13" s="6"/>
      <c r="C13" s="6"/>
      <c r="F13" s="5" t="s">
        <v>230</v>
      </c>
    </row>
    <row r="14" ht="15.75" customHeight="1">
      <c r="A14" s="6" t="s">
        <v>57</v>
      </c>
      <c r="B14" s="6"/>
      <c r="C14" s="6"/>
      <c r="F14" s="5" t="s">
        <v>230</v>
      </c>
    </row>
    <row r="15" ht="15.75" customHeight="1">
      <c r="A15" s="6" t="s">
        <v>71</v>
      </c>
      <c r="B15" s="6"/>
      <c r="C15" s="6"/>
      <c r="F15" s="5" t="s">
        <v>230</v>
      </c>
    </row>
    <row r="16" ht="15.75" customHeight="1">
      <c r="A16" s="5" t="s">
        <v>73</v>
      </c>
      <c r="B16" s="6"/>
      <c r="C16" s="6"/>
      <c r="F16" s="5" t="s">
        <v>230</v>
      </c>
    </row>
    <row r="17" ht="15.75" customHeight="1">
      <c r="A17" s="6" t="s">
        <v>59</v>
      </c>
      <c r="B17" s="6"/>
      <c r="C17" s="6"/>
      <c r="F17" s="5" t="s">
        <v>230</v>
      </c>
    </row>
    <row r="18" ht="15.75" customHeight="1">
      <c r="A18" s="6" t="s">
        <v>78</v>
      </c>
      <c r="B18" s="6" t="s">
        <v>231</v>
      </c>
      <c r="C18" s="19">
        <v>46184.0</v>
      </c>
      <c r="F18" s="5" t="s">
        <v>230</v>
      </c>
    </row>
    <row r="19" ht="15.75" customHeight="1">
      <c r="A19" s="6" t="s">
        <v>81</v>
      </c>
      <c r="B19" s="6" t="s">
        <v>231</v>
      </c>
      <c r="C19" s="19">
        <v>46184.0</v>
      </c>
      <c r="F19" s="5" t="s">
        <v>230</v>
      </c>
    </row>
    <row r="20" ht="15.75" customHeight="1">
      <c r="A20" s="6" t="s">
        <v>62</v>
      </c>
      <c r="B20" s="6" t="s">
        <v>91</v>
      </c>
      <c r="C20" s="6" t="s">
        <v>91</v>
      </c>
      <c r="F20" s="5" t="s">
        <v>230</v>
      </c>
    </row>
    <row r="21" ht="15.75" customHeight="1">
      <c r="A21" s="6" t="s">
        <v>83</v>
      </c>
      <c r="B21" s="6" t="s">
        <v>231</v>
      </c>
      <c r="C21" s="19">
        <v>46183.0</v>
      </c>
      <c r="F21" s="5" t="s">
        <v>230</v>
      </c>
    </row>
    <row r="22" ht="15.75" customHeight="1">
      <c r="A22" s="6" t="s">
        <v>92</v>
      </c>
      <c r="B22" s="6"/>
      <c r="C22" s="6"/>
      <c r="F22" s="5" t="s">
        <v>230</v>
      </c>
    </row>
    <row r="23" ht="15.75" customHeight="1">
      <c r="A23" s="6" t="s">
        <v>68</v>
      </c>
      <c r="B23" s="6"/>
      <c r="C23" s="6"/>
      <c r="F23" s="5" t="s">
        <v>230</v>
      </c>
    </row>
    <row r="24" ht="15.75" customHeight="1">
      <c r="A24" s="6" t="s">
        <v>70</v>
      </c>
      <c r="B24" s="6"/>
      <c r="C24" s="6"/>
      <c r="F24" s="5" t="s">
        <v>230</v>
      </c>
    </row>
    <row r="25" ht="15.75" customHeight="1">
      <c r="A25" s="6" t="s">
        <v>89</v>
      </c>
      <c r="B25" s="6"/>
      <c r="C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6.0"/>
    <col customWidth="1" min="3" max="4" width="13.0"/>
    <col customWidth="1" min="5" max="5" width="8.63"/>
    <col customWidth="1" min="6" max="6" width="26.0"/>
    <col customWidth="1" min="7" max="9" width="12.0"/>
  </cols>
  <sheetData>
    <row r="1" ht="30.0" customHeight="1">
      <c r="A1" s="20" t="s">
        <v>232</v>
      </c>
    </row>
    <row r="3">
      <c r="A3" s="21" t="s">
        <v>207</v>
      </c>
      <c r="B3" s="21" t="s">
        <v>233</v>
      </c>
      <c r="C3" s="21" t="s">
        <v>234</v>
      </c>
      <c r="D3" s="21" t="s">
        <v>235</v>
      </c>
      <c r="F3" s="22" t="s">
        <v>233</v>
      </c>
      <c r="G3" s="22" t="s">
        <v>234</v>
      </c>
      <c r="H3" s="22" t="s">
        <v>235</v>
      </c>
      <c r="I3" s="22" t="s">
        <v>236</v>
      </c>
    </row>
    <row r="4" ht="21.75" customHeight="1">
      <c r="A4" s="23">
        <v>1.0</v>
      </c>
      <c r="B4" s="24" t="str">
        <f t="shared" ref="B4:B25" si="1">INDEX($F$4:$F$25,MATCH(LARGE($I$4:$I$25,A4),$I$4:$I$25,0))</f>
        <v>José Flávio</v>
      </c>
      <c r="C4" s="23">
        <f t="shared" ref="C4:C25" si="2">INDEX($G$4:$G$25,MATCH(LARGE($I$4:$I$25,A4),$I$4:$I$25,0))</f>
        <v>17</v>
      </c>
      <c r="D4" s="23">
        <f t="shared" ref="D4:D25" si="3">INDEX($H$4:$H$25,MATCH(LARGE($I$4:$I$25,A4),$I$4:$I$25,0))</f>
        <v>3</v>
      </c>
      <c r="F4" s="5" t="s">
        <v>28</v>
      </c>
      <c r="G4" s="5">
        <f>IFERROR(VALUE(LEFT('BOLÃO - PALPITES'!D3,FIND(" ",'BOLÃO - PALPITES'!D3)-1)),0)+IFERROR(VALUE(LEFT('BOLÃO - PALPITES'!K3,FIND(" ",'BOLÃO - PALPITES'!K3)-1)),0)+IFERROR(VALUE(LEFT('BOLÃO - PALPITES'!T3,FIND(" ",'BOLÃO - PALPITES'!T3)-1)),0)</f>
        <v>4</v>
      </c>
      <c r="H4" s="5">
        <f>IFERROR(VALUE(MID('BOLÃO - PALPITES'!D3,FIND("(",'BOLÃO - PALPITES'!D3)+1,FIND(")",'BOLÃO - PALPITES'!D3)-FIND("(",'BOLÃO - PALPITES'!D3)-1)),0)+IFERROR(VALUE(MID('BOLÃO - PALPITES'!K3,FIND("(",'BOLÃO - PALPITES'!K3)+1,FIND(")",'BOLÃO - PALPITES'!K3)-FIND("(",'BOLÃO - PALPITES'!K3)-1)),0)+IFERROR(VALUE(MID('BOLÃO - PALPITES'!T3,FIND("(",'BOLÃO - PALPITES'!T3)+1,FIND(")",'BOLÃO - PALPITES'!T3)-FIND("(",'BOLÃO - PALPITES'!T3)-1)),0)</f>
        <v>0</v>
      </c>
      <c r="I4" s="5">
        <f>G4*100000+H4*100+(96)</f>
        <v>400096</v>
      </c>
    </row>
    <row r="5" ht="21.75" customHeight="1">
      <c r="A5" s="25">
        <v>2.0</v>
      </c>
      <c r="B5" s="26" t="str">
        <f t="shared" si="1"/>
        <v>Victor Martins</v>
      </c>
      <c r="C5" s="25">
        <f t="shared" si="2"/>
        <v>17</v>
      </c>
      <c r="D5" s="25">
        <f t="shared" si="3"/>
        <v>3</v>
      </c>
      <c r="F5" s="5" t="s">
        <v>39</v>
      </c>
      <c r="G5" s="5">
        <f>IFERROR(VALUE(LEFT('BOLÃO - PALPITES'!D4,FIND(" ",'BOLÃO - PALPITES'!D4)-1)),0)+IFERROR(VALUE(LEFT('BOLÃO - PALPITES'!K4,FIND(" ",'BOLÃO - PALPITES'!K4)-1)),0)+IFERROR(VALUE(LEFT('BOLÃO - PALPITES'!T4,FIND(" ",'BOLÃO - PALPITES'!T4)-1)),0)</f>
        <v>8</v>
      </c>
      <c r="H5" s="5">
        <f>IFERROR(VALUE(MID('BOLÃO - PALPITES'!D4,FIND("(",'BOLÃO - PALPITES'!D4)+1,FIND(")",'BOLÃO - PALPITES'!D4)-FIND("(",'BOLÃO - PALPITES'!D4)-1)),0)+IFERROR(VALUE(MID('BOLÃO - PALPITES'!K4,FIND("(",'BOLÃO - PALPITES'!K4)+1,FIND(")",'BOLÃO - PALPITES'!K4)-FIND("(",'BOLÃO - PALPITES'!K4)-1)),0)+IFERROR(VALUE(MID('BOLÃO - PALPITES'!T4,FIND("(",'BOLÃO - PALPITES'!T4)+1,FIND(")",'BOLÃO - PALPITES'!T4)-FIND("(",'BOLÃO - PALPITES'!T4)-1)),0)</f>
        <v>0</v>
      </c>
      <c r="I5" s="5">
        <f>G5*100000+H5*100+(95)</f>
        <v>800095</v>
      </c>
    </row>
    <row r="6" ht="21.75" customHeight="1">
      <c r="A6" s="27">
        <v>3.0</v>
      </c>
      <c r="B6" s="28" t="str">
        <f t="shared" si="1"/>
        <v>Caio Borges</v>
      </c>
      <c r="C6" s="27">
        <f t="shared" si="2"/>
        <v>16</v>
      </c>
      <c r="D6" s="27">
        <f t="shared" si="3"/>
        <v>2</v>
      </c>
      <c r="F6" s="5" t="s">
        <v>45</v>
      </c>
      <c r="G6" s="5">
        <f>IFERROR(VALUE(LEFT('BOLÃO - PALPITES'!D5,FIND(" ",'BOLÃO - PALPITES'!D5)-1)),0)+IFERROR(VALUE(LEFT('BOLÃO - PALPITES'!K5,FIND(" ",'BOLÃO - PALPITES'!K5)-1)),0)+IFERROR(VALUE(LEFT('BOLÃO - PALPITES'!T5,FIND(" ",'BOLÃO - PALPITES'!T5)-1)),0)+IFERROR(VALUE(LEFT('BOLÃO - PALPITES'!AA4,FIND(" ",'BOLÃO - PALPITES'!AA4)-1)),0)+IFERROR(VALUE(LEFT('BOLÃO - PALPITES'!AH4,FIND(" ",'BOLÃO - PALPITES'!AH4)-1)),0)+IFERROR(VALUE(LEFT('BOLÃO - PALPITES'!F30,FIND(" ",'BOLÃO - PALPITES'!F30)-1)),0)+IFERROR(VALUE(LEFT('BOLÃO - PALPITES'!M30,FIND(" ",'BOLÃO - PALPITES'!M30)-1)),0)+IFERROR(VALUE(LEFT('BOLÃO - PALPITES'!T30,FIND(" ",'BOLÃO - PALPITES'!T30)-1)),0)+IFERROR(VALUE(LEFT('BOLÃO - PALPITES'!AA30,FIND(" ",'BOLÃO - PALPITES'!AA30)-1)),0)+IFERROR(VALUE(LEFT('BOLÃO - PALPITES'!AH22,FIND(" ",'BOLÃO - PALPITES'!AH22)-1)),0)+IFERROR(VALUE(LEFT('BOLÃO - PALPITES'!F50,FIND(" ",'BOLÃO - PALPITES'!F50)-1)),0)+IFERROR(VALUE(LEFT('BOLÃO - PALPITES'!M50,FIND(" ",'BOLÃO - PALPITES'!M50)-1)),0)+IFERROR(VALUE(LEFT('BOLÃO - PALPITES'!T50,FIND(" ",'BOLÃO - PALPITES'!T50)-1)),0)+IFERROR(VALUE(LEFT('BOLÃO - PALPITES'!H67,FIND(" ",'BOLÃO - PALPITES'!H67)-1)),0)+IFERROR(VALUE(LEFT('BOLÃO - PALPITES'!Q67,FIND(" ",'BOLÃO - PALPITES'!Q67)-1)),0)+IFERROR(VALUE(LEFT('BOLÃO - PALPITES'!Z67,FIND(" ",'BOLÃO - PALPITES'!Z67)-1)),0)+IFERROR(VALUE(LEFT('BOLÃO - PALPITES'!H84,FIND(" ",'BOLÃO - PALPITES'!H84)-1)),0)</f>
        <v>7</v>
      </c>
      <c r="H6" s="5">
        <f>IFERROR(VALUE(MID('BOLÃO - PALPITES'!D5,FIND("(",'BOLÃO - PALPITES'!D5)+1,FIND(")",'BOLÃO - PALPITES'!D5)-FIND("(",'BOLÃO - PALPITES'!D5)-1)),0)+IFERROR(VALUE(MID('BOLÃO - PALPITES'!K5,FIND("(",'BOLÃO - PALPITES'!K5)+1,FIND(")",'BOLÃO - PALPITES'!K5)-FIND("(",'BOLÃO - PALPITES'!K5)-1)),0)+IFERROR(VALUE(MID('BOLÃO - PALPITES'!T5,FIND("(",'BOLÃO - PALPITES'!T5)+1,FIND(")",'BOLÃO - PALPITES'!T5)-FIND("(",'BOLÃO - PALPITES'!T5)-1)),0)+IFERROR(VALUE(MID('BOLÃO - PALPITES'!AA4,FIND("(",'BOLÃO - PALPITES'!AA4)+1,FIND(")",'BOLÃO - PALPITES'!AA4)-FIND("(",'BOLÃO - PALPITES'!AA4)-1)),0)+IFERROR(VALUE(MID('BOLÃO - PALPITES'!AH4,FIND("(",'BOLÃO - PALPITES'!AH4)+1,FIND(")",'BOLÃO - PALPITES'!AH4)-FIND("(",'BOLÃO - PALPITES'!AH4)-1)),0)+IFERROR(VALUE(MID('BOLÃO - PALPITES'!F30,FIND("(",'BOLÃO - PALPITES'!F30)+1,FIND(")",'BOLÃO - PALPITES'!F30)-FIND("(",'BOLÃO - PALPITES'!F30)-1)),0)+IFERROR(VALUE(MID('BOLÃO - PALPITES'!M30,FIND("(",'BOLÃO - PALPITES'!M30)+1,FIND(")",'BOLÃO - PALPITES'!M30)-FIND("(",'BOLÃO - PALPITES'!M30)-1)),0)+IFERROR(VALUE(MID('BOLÃO - PALPITES'!T30,FIND("(",'BOLÃO - PALPITES'!T30)+1,FIND(")",'BOLÃO - PALPITES'!T30)-FIND("(",'BOLÃO - PALPITES'!T30)-1)),0)+IFERROR(VALUE(MID('BOLÃO - PALPITES'!AA30,FIND("(",'BOLÃO - PALPITES'!AA30)+1,FIND(")",'BOLÃO - PALPITES'!AA30)-FIND("(",'BOLÃO - PALPITES'!AA30)-1)),0)+IFERROR(VALUE(MID('BOLÃO - PALPITES'!AH22,FIND("(",'BOLÃO - PALPITES'!AH22)+1,FIND(")",'BOLÃO - PALPITES'!AH22)-FIND("(",'BOLÃO - PALPITES'!AH22)-1)),0)+IFERROR(VALUE(MID('BOLÃO - PALPITES'!F50,FIND("(",'BOLÃO - PALPITES'!F50)+1,FIND(")",'BOLÃO - PALPITES'!F50)-FIND("(",'BOLÃO - PALPITES'!F50)-1)),0)+IFERROR(VALUE(MID('BOLÃO - PALPITES'!M50,FIND("(",'BOLÃO - PALPITES'!M50)+1,FIND(")",'BOLÃO - PALPITES'!M50)-FIND("(",'BOLÃO - PALPITES'!M50)-1)),0)+IFERROR(VALUE(MID('BOLÃO - PALPITES'!T50,FIND("(",'BOLÃO - PALPITES'!T50)+1,FIND(")",'BOLÃO - PALPITES'!T50)-FIND("(",'BOLÃO - PALPITES'!T50)-1)),0)+IFERROR(VALUE(MID('BOLÃO - PALPITES'!H67,FIND("(",'BOLÃO - PALPITES'!H67)+1,FIND(")",'BOLÃO - PALPITES'!H67)-FIND("(",'BOLÃO - PALPITES'!H67)-1)),0)+IFERROR(VALUE(MID('BOLÃO - PALPITES'!Q67,FIND("(",'BOLÃO - PALPITES'!Q67)+1,FIND(")",'BOLÃO - PALPITES'!Q67)-FIND("(",'BOLÃO - PALPITES'!Q67)-1)),0)+IFERROR(VALUE(MID('BOLÃO - PALPITES'!Z67,FIND("(",'BOLÃO - PALPITES'!Z67)+1,FIND(")",'BOLÃO - PALPITES'!Z67)-FIND("(",'BOLÃO - PALPITES'!Z67)-1)),0)+IFERROR(VALUE(MID('BOLÃO - PALPITES'!H84,FIND("(",'BOLÃO - PALPITES'!H84)+1,FIND(")",'BOLÃO - PALPITES'!H84)-FIND("(",'BOLÃO - PALPITES'!H84)-1)),0)</f>
        <v>1</v>
      </c>
      <c r="I6" s="5">
        <f>G6*100000+H6*100+(94)</f>
        <v>700194</v>
      </c>
    </row>
    <row r="7" ht="21.75" customHeight="1">
      <c r="A7" s="29">
        <v>4.0</v>
      </c>
      <c r="B7" s="30" t="str">
        <f t="shared" si="1"/>
        <v>Gabriel Mendes</v>
      </c>
      <c r="C7" s="29">
        <f t="shared" si="2"/>
        <v>16</v>
      </c>
      <c r="D7" s="29">
        <f t="shared" si="3"/>
        <v>2</v>
      </c>
      <c r="F7" s="5" t="s">
        <v>49</v>
      </c>
      <c r="G7" s="5">
        <f>IFERROR(VALUE(LEFT('BOLÃO - PALPITES'!D6,FIND(" ",'BOLÃO - PALPITES'!D6)-1)),0)+IFERROR(VALUE(LEFT('BOLÃO - PALPITES'!K6,FIND(" ",'BOLÃO - PALPITES'!K6)-1)),0)+IFERROR(VALUE(LEFT('BOLÃO - PALPITES'!T6,FIND(" ",'BOLÃO - PALPITES'!T6)-1)),0)+IFERROR(VALUE(LEFT('BOLÃO - PALPITES'!AA3,FIND(" ",'BOLÃO - PALPITES'!AA3)-1)),0)+IFERROR(VALUE(LEFT('BOLÃO - PALPITES'!AH3,FIND(" ",'BOLÃO - PALPITES'!AH3)-1)),0)+IFERROR(VALUE(LEFT('BOLÃO - PALPITES'!F29,FIND(" ",'BOLÃO - PALPITES'!F29)-1)),0)+IFERROR(VALUE(LEFT('BOLÃO - PALPITES'!M29,FIND(" ",'BOLÃO - PALPITES'!M29)-1)),0)+IFERROR(VALUE(LEFT('BOLÃO - PALPITES'!T29,FIND(" ",'BOLÃO - PALPITES'!T29)-1)),0)+IFERROR(VALUE(LEFT('BOLÃO - PALPITES'!AA29,FIND(" ",'BOLÃO - PALPITES'!AA29)-1)),0)+IFERROR(VALUE(LEFT('BOLÃO - PALPITES'!AH21,FIND(" ",'BOLÃO - PALPITES'!AH21)-1)),0)+IFERROR(VALUE(LEFT('BOLÃO - PALPITES'!F49,FIND(" ",'BOLÃO - PALPITES'!F49)-1)),0)+IFERROR(VALUE(LEFT('BOLÃO - PALPITES'!M49,FIND(" ",'BOLÃO - PALPITES'!M49)-1)),0)+IFERROR(VALUE(LEFT('BOLÃO - PALPITES'!T49,FIND(" ",'BOLÃO - PALPITES'!T49)-1)),0)+IFERROR(VALUE(LEFT('BOLÃO - PALPITES'!H66,FIND(" ",'BOLÃO - PALPITES'!H66)-1)),0)+IFERROR(VALUE(LEFT('BOLÃO - PALPITES'!Q66,FIND(" ",'BOLÃO - PALPITES'!Q66)-1)),0)+IFERROR(VALUE(LEFT('BOLÃO - PALPITES'!Z66,FIND(" ",'BOLÃO - PALPITES'!Z66)-1)),0)+IFERROR(VALUE(LEFT('BOLÃO - PALPITES'!H83,FIND(" ",'BOLÃO - PALPITES'!H83)-1)),0)</f>
        <v>4</v>
      </c>
      <c r="H7" s="5">
        <f>IFERROR(VALUE(MID('BOLÃO - PALPITES'!D6,FIND("(",'BOLÃO - PALPITES'!D6)+1,FIND(")",'BOLÃO - PALPITES'!D6)-FIND("(",'BOLÃO - PALPITES'!D6)-1)),0)+IFERROR(VALUE(MID('BOLÃO - PALPITES'!K6,FIND("(",'BOLÃO - PALPITES'!K6)+1,FIND(")",'BOLÃO - PALPITES'!K6)-FIND("(",'BOLÃO - PALPITES'!K6)-1)),0)+IFERROR(VALUE(MID('BOLÃO - PALPITES'!T6,FIND("(",'BOLÃO - PALPITES'!T6)+1,FIND(")",'BOLÃO - PALPITES'!T6)-FIND("(",'BOLÃO - PALPITES'!T6)-1)),0)+IFERROR(VALUE(MID('BOLÃO - PALPITES'!AA3,FIND("(",'BOLÃO - PALPITES'!AA3)+1,FIND(")",'BOLÃO - PALPITES'!AA3)-FIND("(",'BOLÃO - PALPITES'!AA3)-1)),0)+IFERROR(VALUE(MID('BOLÃO - PALPITES'!AH3,FIND("(",'BOLÃO - PALPITES'!AH3)+1,FIND(")",'BOLÃO - PALPITES'!AH3)-FIND("(",'BOLÃO - PALPITES'!AH3)-1)),0)+IFERROR(VALUE(MID('BOLÃO - PALPITES'!F29,FIND("(",'BOLÃO - PALPITES'!F29)+1,FIND(")",'BOLÃO - PALPITES'!F29)-FIND("(",'BOLÃO - PALPITES'!F29)-1)),0)+IFERROR(VALUE(MID('BOLÃO - PALPITES'!M29,FIND("(",'BOLÃO - PALPITES'!M29)+1,FIND(")",'BOLÃO - PALPITES'!M29)-FIND("(",'BOLÃO - PALPITES'!M29)-1)),0)+IFERROR(VALUE(MID('BOLÃO - PALPITES'!T29,FIND("(",'BOLÃO - PALPITES'!T29)+1,FIND(")",'BOLÃO - PALPITES'!T29)-FIND("(",'BOLÃO - PALPITES'!T29)-1)),0)+IFERROR(VALUE(MID('BOLÃO - PALPITES'!AA29,FIND("(",'BOLÃO - PALPITES'!AA29)+1,FIND(")",'BOLÃO - PALPITES'!AA29)-FIND("(",'BOLÃO - PALPITES'!AA29)-1)),0)+IFERROR(VALUE(MID('BOLÃO - PALPITES'!AH21,FIND("(",'BOLÃO - PALPITES'!AH21)+1,FIND(")",'BOLÃO - PALPITES'!AH21)-FIND("(",'BOLÃO - PALPITES'!AH21)-1)),0)+IFERROR(VALUE(MID('BOLÃO - PALPITES'!F49,FIND("(",'BOLÃO - PALPITES'!F49)+1,FIND(")",'BOLÃO - PALPITES'!F49)-FIND("(",'BOLÃO - PALPITES'!F49)-1)),0)+IFERROR(VALUE(MID('BOLÃO - PALPITES'!M49,FIND("(",'BOLÃO - PALPITES'!M49)+1,FIND(")",'BOLÃO - PALPITES'!M49)-FIND("(",'BOLÃO - PALPITES'!M49)-1)),0)+IFERROR(VALUE(MID('BOLÃO - PALPITES'!T49,FIND("(",'BOLÃO - PALPITES'!T49)+1,FIND(")",'BOLÃO - PALPITES'!T49)-FIND("(",'BOLÃO - PALPITES'!T49)-1)),0)+IFERROR(VALUE(MID('BOLÃO - PALPITES'!H66,FIND("(",'BOLÃO - PALPITES'!H66)+1,FIND(")",'BOLÃO - PALPITES'!H66)-FIND("(",'BOLÃO - PALPITES'!H66)-1)),0)+IFERROR(VALUE(MID('BOLÃO - PALPITES'!Q66,FIND("(",'BOLÃO - PALPITES'!Q66)+1,FIND(")",'BOLÃO - PALPITES'!Q66)-FIND("(",'BOLÃO - PALPITES'!Q66)-1)),0)+IFERROR(VALUE(MID('BOLÃO - PALPITES'!Z66,FIND("(",'BOLÃO - PALPITES'!Z66)+1,FIND(")",'BOLÃO - PALPITES'!Z66)-FIND("(",'BOLÃO - PALPITES'!Z66)-1)),0)+IFERROR(VALUE(MID('BOLÃO - PALPITES'!H83,FIND("(",'BOLÃO - PALPITES'!H83)+1,FIND(")",'BOLÃO - PALPITES'!H83)-FIND("(",'BOLÃO - PALPITES'!H83)-1)),0)</f>
        <v>0</v>
      </c>
      <c r="I7" s="5">
        <f>G7*100000+H7*100+(93)</f>
        <v>400093</v>
      </c>
    </row>
    <row r="8" ht="21.75" customHeight="1">
      <c r="A8" s="29">
        <v>5.0</v>
      </c>
      <c r="B8" s="30" t="str">
        <f t="shared" si="1"/>
        <v>Janiele Cristina</v>
      </c>
      <c r="C8" s="29">
        <f t="shared" si="2"/>
        <v>14</v>
      </c>
      <c r="D8" s="29">
        <f t="shared" si="3"/>
        <v>2</v>
      </c>
      <c r="F8" s="5" t="s">
        <v>48</v>
      </c>
      <c r="G8" s="5">
        <f>IFERROR(VALUE(LEFT('BOLÃO - PALPITES'!D7,FIND(" ",'BOLÃO - PALPITES'!D7)-1)),0)+IFERROR(VALUE(LEFT('BOLÃO - PALPITES'!K7,FIND(" ",'BOLÃO - PALPITES'!K7)-1)),0)+IFERROR(VALUE(LEFT('BOLÃO - PALPITES'!T7,FIND(" ",'BOLÃO - PALPITES'!T7)-1)),0)+IFERROR(VALUE(LEFT('BOLÃO - PALPITES'!AA5,FIND(" ",'BOLÃO - PALPITES'!AA5)-1)),0)+IFERROR(VALUE(LEFT('BOLÃO - PALPITES'!AH5,FIND(" ",'BOLÃO - PALPITES'!AH5)-1)),0)+IFERROR(VALUE(LEFT('BOLÃO - PALPITES'!F31,FIND(" ",'BOLÃO - PALPITES'!F31)-1)),0)+IFERROR(VALUE(LEFT('BOLÃO - PALPITES'!M31,FIND(" ",'BOLÃO - PALPITES'!M31)-1)),0)+IFERROR(VALUE(LEFT('BOLÃO - PALPITES'!T31,FIND(" ",'BOLÃO - PALPITES'!T31)-1)),0)+IFERROR(VALUE(LEFT('BOLÃO - PALPITES'!AA31,FIND(" ",'BOLÃO - PALPITES'!AA31)-1)),0)+IFERROR(VALUE(LEFT('BOLÃO - PALPITES'!AH23,FIND(" ",'BOLÃO - PALPITES'!AH23)-1)),0)+IFERROR(VALUE(LEFT('BOLÃO - PALPITES'!F51,FIND(" ",'BOLÃO - PALPITES'!F51)-1)),0)+IFERROR(VALUE(LEFT('BOLÃO - PALPITES'!M51,FIND(" ",'BOLÃO - PALPITES'!M51)-1)),0)+IFERROR(VALUE(LEFT('BOLÃO - PALPITES'!T51,FIND(" ",'BOLÃO - PALPITES'!T51)-1)),0)+IFERROR(VALUE(LEFT('BOLÃO - PALPITES'!H68,FIND(" ",'BOLÃO - PALPITES'!H68)-1)),0)+IFERROR(VALUE(LEFT('BOLÃO - PALPITES'!Q68,FIND(" ",'BOLÃO - PALPITES'!Q68)-1)),0)+IFERROR(VALUE(LEFT('BOLÃO - PALPITES'!Z68,FIND(" ",'BOLÃO - PALPITES'!Z68)-1)),0)+IFERROR(VALUE(LEFT('BOLÃO - PALPITES'!H85,FIND(" ",'BOLÃO - PALPITES'!H85)-1)),0)</f>
        <v>16</v>
      </c>
      <c r="H8" s="5">
        <f>IFERROR(VALUE(MID('BOLÃO - PALPITES'!D7,FIND("(",'BOLÃO - PALPITES'!D7)+1,FIND(")",'BOLÃO - PALPITES'!D7)-FIND("(",'BOLÃO - PALPITES'!D7)-1)),0)+IFERROR(VALUE(MID('BOLÃO - PALPITES'!K7,FIND("(",'BOLÃO - PALPITES'!K7)+1,FIND(")",'BOLÃO - PALPITES'!K7)-FIND("(",'BOLÃO - PALPITES'!K7)-1)),0)+IFERROR(VALUE(MID('BOLÃO - PALPITES'!T7,FIND("(",'BOLÃO - PALPITES'!T7)+1,FIND(")",'BOLÃO - PALPITES'!T7)-FIND("(",'BOLÃO - PALPITES'!T7)-1)),0)+IFERROR(VALUE(MID('BOLÃO - PALPITES'!AA5,FIND("(",'BOLÃO - PALPITES'!AA5)+1,FIND(")",'BOLÃO - PALPITES'!AA5)-FIND("(",'BOLÃO - PALPITES'!AA5)-1)),0)+IFERROR(VALUE(MID('BOLÃO - PALPITES'!AH5,FIND("(",'BOLÃO - PALPITES'!AH5)+1,FIND(")",'BOLÃO - PALPITES'!AH5)-FIND("(",'BOLÃO - PALPITES'!AH5)-1)),0)+IFERROR(VALUE(MID('BOLÃO - PALPITES'!F31,FIND("(",'BOLÃO - PALPITES'!F31)+1,FIND(")",'BOLÃO - PALPITES'!F31)-FIND("(",'BOLÃO - PALPITES'!F31)-1)),0)+IFERROR(VALUE(MID('BOLÃO - PALPITES'!M31,FIND("(",'BOLÃO - PALPITES'!M31)+1,FIND(")",'BOLÃO - PALPITES'!M31)-FIND("(",'BOLÃO - PALPITES'!M31)-1)),0)+IFERROR(VALUE(MID('BOLÃO - PALPITES'!T31,FIND("(",'BOLÃO - PALPITES'!T31)+1,FIND(")",'BOLÃO - PALPITES'!T31)-FIND("(",'BOLÃO - PALPITES'!T31)-1)),0)+IFERROR(VALUE(MID('BOLÃO - PALPITES'!AA31,FIND("(",'BOLÃO - PALPITES'!AA31)+1,FIND(")",'BOLÃO - PALPITES'!AA31)-FIND("(",'BOLÃO - PALPITES'!AA31)-1)),0)+IFERROR(VALUE(MID('BOLÃO - PALPITES'!AH23,FIND("(",'BOLÃO - PALPITES'!AH23)+1,FIND(")",'BOLÃO - PALPITES'!AH23)-FIND("(",'BOLÃO - PALPITES'!AH23)-1)),0)+IFERROR(VALUE(MID('BOLÃO - PALPITES'!F51,FIND("(",'BOLÃO - PALPITES'!F51)+1,FIND(")",'BOLÃO - PALPITES'!F51)-FIND("(",'BOLÃO - PALPITES'!F51)-1)),0)+IFERROR(VALUE(MID('BOLÃO - PALPITES'!M51,FIND("(",'BOLÃO - PALPITES'!M51)+1,FIND(")",'BOLÃO - PALPITES'!M51)-FIND("(",'BOLÃO - PALPITES'!M51)-1)),0)+IFERROR(VALUE(MID('BOLÃO - PALPITES'!T51,FIND("(",'BOLÃO - PALPITES'!T51)+1,FIND(")",'BOLÃO - PALPITES'!T51)-FIND("(",'BOLÃO - PALPITES'!T51)-1)),0)+IFERROR(VALUE(MID('BOLÃO - PALPITES'!H68,FIND("(",'BOLÃO - PALPITES'!H68)+1,FIND(")",'BOLÃO - PALPITES'!H68)-FIND("(",'BOLÃO - PALPITES'!H68)-1)),0)+IFERROR(VALUE(MID('BOLÃO - PALPITES'!Q68,FIND("(",'BOLÃO - PALPITES'!Q68)+1,FIND(")",'BOLÃO - PALPITES'!Q68)-FIND("(",'BOLÃO - PALPITES'!Q68)-1)),0)+IFERROR(VALUE(MID('BOLÃO - PALPITES'!Z68,FIND("(",'BOLÃO - PALPITES'!Z68)+1,FIND(")",'BOLÃO - PALPITES'!Z68)-FIND("(",'BOLÃO - PALPITES'!Z68)-1)),0)+IFERROR(VALUE(MID('BOLÃO - PALPITES'!H85,FIND("(",'BOLÃO - PALPITES'!H85)+1,FIND(")",'BOLÃO - PALPITES'!H85)-FIND("(",'BOLÃO - PALPITES'!H85)-1)),0)</f>
        <v>2</v>
      </c>
      <c r="I8" s="5">
        <f>G8*100000+H8*100+(92)</f>
        <v>1600292</v>
      </c>
    </row>
    <row r="9" ht="21.75" customHeight="1">
      <c r="A9" s="29">
        <v>6.0</v>
      </c>
      <c r="B9" s="30" t="str">
        <f t="shared" si="1"/>
        <v>Guilherme Valadares</v>
      </c>
      <c r="C9" s="29">
        <f t="shared" si="2"/>
        <v>12</v>
      </c>
      <c r="D9" s="29">
        <f t="shared" si="3"/>
        <v>2</v>
      </c>
      <c r="F9" s="5" t="s">
        <v>55</v>
      </c>
      <c r="G9" s="5">
        <f>IFERROR(VALUE(LEFT('BOLÃO - PALPITES'!D8,FIND(" ",'BOLÃO - PALPITES'!D8)-1)),0)+IFERROR(VALUE(LEFT('BOLÃO - PALPITES'!K8,FIND(" ",'BOLÃO - PALPITES'!K8)-1)),0)+IFERROR(VALUE(LEFT('BOLÃO - PALPITES'!T8,FIND(" ",'BOLÃO - PALPITES'!T8)-1)),0)</f>
        <v>11</v>
      </c>
      <c r="H9" s="5">
        <f>IFERROR(VALUE(MID('BOLÃO - PALPITES'!D8,FIND("(",'BOLÃO - PALPITES'!D8)+1,FIND(")",'BOLÃO - PALPITES'!D8)-FIND("(",'BOLÃO - PALPITES'!D8)-1)),0)+IFERROR(VALUE(MID('BOLÃO - PALPITES'!K8,FIND("(",'BOLÃO - PALPITES'!K8)+1,FIND(")",'BOLÃO - PALPITES'!K8)-FIND("(",'BOLÃO - PALPITES'!K8)-1)),0)+IFERROR(VALUE(MID('BOLÃO - PALPITES'!T8,FIND("(",'BOLÃO - PALPITES'!T8)+1,FIND(")",'BOLÃO - PALPITES'!T8)-FIND("(",'BOLÃO - PALPITES'!T8)-1)),0)</f>
        <v>1</v>
      </c>
      <c r="I9" s="5">
        <f>G9*100000+H9*100+(91)</f>
        <v>1100191</v>
      </c>
    </row>
    <row r="10" ht="21.75" customHeight="1">
      <c r="A10" s="29">
        <v>7.0</v>
      </c>
      <c r="B10" s="30" t="str">
        <f t="shared" si="1"/>
        <v>Eduarda Peres</v>
      </c>
      <c r="C10" s="29">
        <f t="shared" si="2"/>
        <v>11</v>
      </c>
      <c r="D10" s="29">
        <f t="shared" si="3"/>
        <v>1</v>
      </c>
      <c r="F10" s="5" t="s">
        <v>51</v>
      </c>
      <c r="G10" s="5">
        <f>IFERROR(VALUE(LEFT('BOLÃO - PALPITES'!D9,FIND(" ",'BOLÃO - PALPITES'!D9)-1)),0)+IFERROR(VALUE(LEFT('BOLÃO - PALPITES'!K9,FIND(" ",'BOLÃO - PALPITES'!K9)-1)),0)+IFERROR(VALUE(LEFT('BOLÃO - PALPITES'!T9,FIND(" ",'BOLÃO - PALPITES'!T9)-1)),0)+IFERROR(VALUE(LEFT('BOLÃO - PALPITES'!AA6,FIND(" ",'BOLÃO - PALPITES'!AA6)-1)),0)+IFERROR(VALUE(LEFT('BOLÃO - PALPITES'!AH6,FIND(" ",'BOLÃO - PALPITES'!AH6)-1)),0)+IFERROR(VALUE(LEFT('BOLÃO - PALPITES'!F32,FIND(" ",'BOLÃO - PALPITES'!F32)-1)),0)+IFERROR(VALUE(LEFT('BOLÃO - PALPITES'!M32,FIND(" ",'BOLÃO - PALPITES'!M32)-1)),0)+IFERROR(VALUE(LEFT('BOLÃO - PALPITES'!T32,FIND(" ",'BOLÃO - PALPITES'!T32)-1)),0)+IFERROR(VALUE(LEFT('BOLÃO - PALPITES'!AA32,FIND(" ",'BOLÃO - PALPITES'!AA32)-1)),0)+IFERROR(VALUE(LEFT('BOLÃO - PALPITES'!AH24,FIND(" ",'BOLÃO - PALPITES'!AH24)-1)),0)+IFERROR(VALUE(LEFT('BOLÃO - PALPITES'!F52,FIND(" ",'BOLÃO - PALPITES'!F52)-1)),0)+IFERROR(VALUE(LEFT('BOLÃO - PALPITES'!M52,FIND(" ",'BOLÃO - PALPITES'!M52)-1)),0)+IFERROR(VALUE(LEFT('BOLÃO - PALPITES'!T52,FIND(" ",'BOLÃO - PALPITES'!T52)-1)),0)+IFERROR(VALUE(LEFT('BOLÃO - PALPITES'!H69,FIND(" ",'BOLÃO - PALPITES'!H69)-1)),0)+IFERROR(VALUE(LEFT('BOLÃO - PALPITES'!Q69,FIND(" ",'BOLÃO - PALPITES'!Q69)-1)),0)+IFERROR(VALUE(LEFT('BOLÃO - PALPITES'!Z69,FIND(" ",'BOLÃO - PALPITES'!Z69)-1)),0)+IFERROR(VALUE(LEFT('BOLÃO - PALPITES'!H86,FIND(" ",'BOLÃO - PALPITES'!H86)-1)),0)</f>
        <v>16</v>
      </c>
      <c r="H10" s="5">
        <f>IFERROR(VALUE(MID('BOLÃO - PALPITES'!D9,FIND("(",'BOLÃO - PALPITES'!D9)+1,FIND(")",'BOLÃO - PALPITES'!D9)-FIND("(",'BOLÃO - PALPITES'!D9)-1)),0)+IFERROR(VALUE(MID('BOLÃO - PALPITES'!K9,FIND("(",'BOLÃO - PALPITES'!K9)+1,FIND(")",'BOLÃO - PALPITES'!K9)-FIND("(",'BOLÃO - PALPITES'!K9)-1)),0)+IFERROR(VALUE(MID('BOLÃO - PALPITES'!T9,FIND("(",'BOLÃO - PALPITES'!T9)+1,FIND(")",'BOLÃO - PALPITES'!T9)-FIND("(",'BOLÃO - PALPITES'!T9)-1)),0)+IFERROR(VALUE(MID('BOLÃO - PALPITES'!AA6,FIND("(",'BOLÃO - PALPITES'!AA6)+1,FIND(")",'BOLÃO - PALPITES'!AA6)-FIND("(",'BOLÃO - PALPITES'!AA6)-1)),0)+IFERROR(VALUE(MID('BOLÃO - PALPITES'!AH6,FIND("(",'BOLÃO - PALPITES'!AH6)+1,FIND(")",'BOLÃO - PALPITES'!AH6)-FIND("(",'BOLÃO - PALPITES'!AH6)-1)),0)+IFERROR(VALUE(MID('BOLÃO - PALPITES'!F32,FIND("(",'BOLÃO - PALPITES'!F32)+1,FIND(")",'BOLÃO - PALPITES'!F32)-FIND("(",'BOLÃO - PALPITES'!F32)-1)),0)+IFERROR(VALUE(MID('BOLÃO - PALPITES'!M32,FIND("(",'BOLÃO - PALPITES'!M32)+1,FIND(")",'BOLÃO - PALPITES'!M32)-FIND("(",'BOLÃO - PALPITES'!M32)-1)),0)+IFERROR(VALUE(MID('BOLÃO - PALPITES'!T32,FIND("(",'BOLÃO - PALPITES'!T32)+1,FIND(")",'BOLÃO - PALPITES'!T32)-FIND("(",'BOLÃO - PALPITES'!T32)-1)),0)+IFERROR(VALUE(MID('BOLÃO - PALPITES'!AA32,FIND("(",'BOLÃO - PALPITES'!AA32)+1,FIND(")",'BOLÃO - PALPITES'!AA32)-FIND("(",'BOLÃO - PALPITES'!AA32)-1)),0)+IFERROR(VALUE(MID('BOLÃO - PALPITES'!AH24,FIND("(",'BOLÃO - PALPITES'!AH24)+1,FIND(")",'BOLÃO - PALPITES'!AH24)-FIND("(",'BOLÃO - PALPITES'!AH24)-1)),0)+IFERROR(VALUE(MID('BOLÃO - PALPITES'!F52,FIND("(",'BOLÃO - PALPITES'!F52)+1,FIND(")",'BOLÃO - PALPITES'!F52)-FIND("(",'BOLÃO - PALPITES'!F52)-1)),0)+IFERROR(VALUE(MID('BOLÃO - PALPITES'!M52,FIND("(",'BOLÃO - PALPITES'!M52)+1,FIND(")",'BOLÃO - PALPITES'!M52)-FIND("(",'BOLÃO - PALPITES'!M52)-1)),0)+IFERROR(VALUE(MID('BOLÃO - PALPITES'!T52,FIND("(",'BOLÃO - PALPITES'!T52)+1,FIND(")",'BOLÃO - PALPITES'!T52)-FIND("(",'BOLÃO - PALPITES'!T52)-1)),0)+IFERROR(VALUE(MID('BOLÃO - PALPITES'!H69,FIND("(",'BOLÃO - PALPITES'!H69)+1,FIND(")",'BOLÃO - PALPITES'!H69)-FIND("(",'BOLÃO - PALPITES'!H69)-1)),0)+IFERROR(VALUE(MID('BOLÃO - PALPITES'!Q69,FIND("(",'BOLÃO - PALPITES'!Q69)+1,FIND(")",'BOLÃO - PALPITES'!Q69)-FIND("(",'BOLÃO - PALPITES'!Q69)-1)),0)+IFERROR(VALUE(MID('BOLÃO - PALPITES'!Z69,FIND("(",'BOLÃO - PALPITES'!Z69)+1,FIND(")",'BOLÃO - PALPITES'!Z69)-FIND("(",'BOLÃO - PALPITES'!Z69)-1)),0)+IFERROR(VALUE(MID('BOLÃO - PALPITES'!H86,FIND("(",'BOLÃO - PALPITES'!H86)+1,FIND(")",'BOLÃO - PALPITES'!H86)-FIND("(",'BOLÃO - PALPITES'!H86)-1)),0)</f>
        <v>2</v>
      </c>
      <c r="I10" s="5">
        <f>G10*100000+H10*100+(90)</f>
        <v>1600290</v>
      </c>
    </row>
    <row r="11" ht="21.75" customHeight="1">
      <c r="A11" s="29">
        <v>8.0</v>
      </c>
      <c r="B11" s="30" t="str">
        <f t="shared" si="1"/>
        <v>Rodrigo Gomes</v>
      </c>
      <c r="C11" s="29">
        <f t="shared" si="2"/>
        <v>11</v>
      </c>
      <c r="D11" s="29">
        <f t="shared" si="3"/>
        <v>1</v>
      </c>
      <c r="F11" s="5" t="s">
        <v>60</v>
      </c>
      <c r="G11" s="5">
        <f>IFERROR(VALUE(LEFT('BOLÃO - PALPITES'!D10,FIND(" ",'BOLÃO - PALPITES'!D10)-1)),0)+IFERROR(VALUE(LEFT('BOLÃO - PALPITES'!K10,FIND(" ",'BOLÃO - PALPITES'!K10)-1)),0)+IFERROR(VALUE(LEFT('BOLÃO - PALPITES'!T10,FIND(" ",'BOLÃO - PALPITES'!T10)-1)),0)</f>
        <v>12</v>
      </c>
      <c r="H11" s="5">
        <f>IFERROR(VALUE(MID('BOLÃO - PALPITES'!D10,FIND("(",'BOLÃO - PALPITES'!D10)+1,FIND(")",'BOLÃO - PALPITES'!D10)-FIND("(",'BOLÃO - PALPITES'!D10)-1)),0)+IFERROR(VALUE(MID('BOLÃO - PALPITES'!K10,FIND("(",'BOLÃO - PALPITES'!K10)+1,FIND(")",'BOLÃO - PALPITES'!K10)-FIND("(",'BOLÃO - PALPITES'!K10)-1)),0)+IFERROR(VALUE(MID('BOLÃO - PALPITES'!T10,FIND("(",'BOLÃO - PALPITES'!T10)+1,FIND(")",'BOLÃO - PALPITES'!T10)-FIND("(",'BOLÃO - PALPITES'!T10)-1)),0)</f>
        <v>2</v>
      </c>
      <c r="I11" s="5">
        <f>G11*100000+H11*100+(89)</f>
        <v>1200289</v>
      </c>
    </row>
    <row r="12" ht="21.75" customHeight="1">
      <c r="A12" s="29">
        <v>9.0</v>
      </c>
      <c r="B12" s="30" t="str">
        <f t="shared" si="1"/>
        <v>Bianca Leite</v>
      </c>
      <c r="C12" s="29">
        <f t="shared" si="2"/>
        <v>8</v>
      </c>
      <c r="D12" s="29">
        <f t="shared" si="3"/>
        <v>0</v>
      </c>
      <c r="F12" s="5" t="s">
        <v>63</v>
      </c>
      <c r="G12" s="5">
        <f>IFERROR(VALUE(LEFT('BOLÃO - PALPITES'!D11,FIND(" ",'BOLÃO - PALPITES'!D11)-1)),0)+IFERROR(VALUE(LEFT('BOLÃO - PALPITES'!K11,FIND(" ",'BOLÃO - PALPITES'!K11)-1)),0)+IFERROR(VALUE(LEFT('BOLÃO - PALPITES'!T11,FIND(" ",'BOLÃO - PALPITES'!T11)-1)),0)+IFERROR(VALUE(LEFT('BOLÃO - PALPITES'!AA7,FIND(" ",'BOLÃO - PALPITES'!AA7)-1)),0)+IFERROR(VALUE(LEFT('BOLÃO - PALPITES'!AH7,FIND(" ",'BOLÃO - PALPITES'!AH7)-1)),0)+IFERROR(VALUE(LEFT('BOLÃO - PALPITES'!F33,FIND(" ",'BOLÃO - PALPITES'!F33)-1)),0)+IFERROR(VALUE(LEFT('BOLÃO - PALPITES'!M33,FIND(" ",'BOLÃO - PALPITES'!M33)-1)),0)+IFERROR(VALUE(LEFT('BOLÃO - PALPITES'!T33,FIND(" ",'BOLÃO - PALPITES'!T33)-1)),0)+IFERROR(VALUE(LEFT('BOLÃO - PALPITES'!AA33,FIND(" ",'BOLÃO - PALPITES'!AA33)-1)),0)+IFERROR(VALUE(LEFT('BOLÃO - PALPITES'!AH27,FIND(" ",'BOLÃO - PALPITES'!AH27)-1)),0)+IFERROR(VALUE(LEFT('BOLÃO - PALPITES'!F53,FIND(" ",'BOLÃO - PALPITES'!F53)-1)),0)+IFERROR(VALUE(LEFT('BOLÃO - PALPITES'!M53,FIND(" ",'BOLÃO - PALPITES'!M53)-1)),0)+IFERROR(VALUE(LEFT('BOLÃO - PALPITES'!T53,FIND(" ",'BOLÃO - PALPITES'!T53)-1)),0)+IFERROR(VALUE(LEFT('BOLÃO - PALPITES'!H70,FIND(" ",'BOLÃO - PALPITES'!H70)-1)),0)+IFERROR(VALUE(LEFT('BOLÃO - PALPITES'!Q70,FIND(" ",'BOLÃO - PALPITES'!Q70)-1)),0)+IFERROR(VALUE(LEFT('BOLÃO - PALPITES'!Z70,FIND(" ",'BOLÃO - PALPITES'!Z70)-1)),0)+IFERROR(VALUE(LEFT('BOLÃO - PALPITES'!H87,FIND(" ",'BOLÃO - PALPITES'!H87)-1)),0)</f>
        <v>8</v>
      </c>
      <c r="H12" s="5">
        <f>IFERROR(VALUE(MID('BOLÃO - PALPITES'!D11,FIND("(",'BOLÃO - PALPITES'!D11)+1,FIND(")",'BOLÃO - PALPITES'!D11)-FIND("(",'BOLÃO - PALPITES'!D11)-1)),0)+IFERROR(VALUE(MID('BOLÃO - PALPITES'!K11,FIND("(",'BOLÃO - PALPITES'!K11)+1,FIND(")",'BOLÃO - PALPITES'!K11)-FIND("(",'BOLÃO - PALPITES'!K11)-1)),0)+IFERROR(VALUE(MID('BOLÃO - PALPITES'!T11,FIND("(",'BOLÃO - PALPITES'!T11)+1,FIND(")",'BOLÃO - PALPITES'!T11)-FIND("(",'BOLÃO - PALPITES'!T11)-1)),0)+IFERROR(VALUE(MID('BOLÃO - PALPITES'!AA7,FIND("(",'BOLÃO - PALPITES'!AA7)+1,FIND(")",'BOLÃO - PALPITES'!AA7)-FIND("(",'BOLÃO - PALPITES'!AA7)-1)),0)+IFERROR(VALUE(MID('BOLÃO - PALPITES'!AH7,FIND("(",'BOLÃO - PALPITES'!AH7)+1,FIND(")",'BOLÃO - PALPITES'!AH7)-FIND("(",'BOLÃO - PALPITES'!AH7)-1)),0)+IFERROR(VALUE(MID('BOLÃO - PALPITES'!F33,FIND("(",'BOLÃO - PALPITES'!F33)+1,FIND(")",'BOLÃO - PALPITES'!F33)-FIND("(",'BOLÃO - PALPITES'!F33)-1)),0)+IFERROR(VALUE(MID('BOLÃO - PALPITES'!M33,FIND("(",'BOLÃO - PALPITES'!M33)+1,FIND(")",'BOLÃO - PALPITES'!M33)-FIND("(",'BOLÃO - PALPITES'!M33)-1)),0)+IFERROR(VALUE(MID('BOLÃO - PALPITES'!T33,FIND("(",'BOLÃO - PALPITES'!T33)+1,FIND(")",'BOLÃO - PALPITES'!T33)-FIND("(",'BOLÃO - PALPITES'!T33)-1)),0)+IFERROR(VALUE(MID('BOLÃO - PALPITES'!AA33,FIND("(",'BOLÃO - PALPITES'!AA33)+1,FIND(")",'BOLÃO - PALPITES'!AA33)-FIND("(",'BOLÃO - PALPITES'!AA33)-1)),0)+IFERROR(VALUE(MID('BOLÃO - PALPITES'!AH27,FIND("(",'BOLÃO - PALPITES'!AH27)+1,FIND(")",'BOLÃO - PALPITES'!AH27)-FIND("(",'BOLÃO - PALPITES'!AH27)-1)),0)+IFERROR(VALUE(MID('BOLÃO - PALPITES'!F53,FIND("(",'BOLÃO - PALPITES'!F53)+1,FIND(")",'BOLÃO - PALPITES'!F53)-FIND("(",'BOLÃO - PALPITES'!F53)-1)),0)+IFERROR(VALUE(MID('BOLÃO - PALPITES'!M53,FIND("(",'BOLÃO - PALPITES'!M53)+1,FIND(")",'BOLÃO - PALPITES'!M53)-FIND("(",'BOLÃO - PALPITES'!M53)-1)),0)+IFERROR(VALUE(MID('BOLÃO - PALPITES'!T53,FIND("(",'BOLÃO - PALPITES'!T53)+1,FIND(")",'BOLÃO - PALPITES'!T53)-FIND("(",'BOLÃO - PALPITES'!T53)-1)),0)+IFERROR(VALUE(MID('BOLÃO - PALPITES'!H70,FIND("(",'BOLÃO - PALPITES'!H70)+1,FIND(")",'BOLÃO - PALPITES'!H70)-FIND("(",'BOLÃO - PALPITES'!H70)-1)),0)+IFERROR(VALUE(MID('BOLÃO - PALPITES'!Q70,FIND("(",'BOLÃO - PALPITES'!Q70)+1,FIND(")",'BOLÃO - PALPITES'!Q70)-FIND("(",'BOLÃO - PALPITES'!Q70)-1)),0)+IFERROR(VALUE(MID('BOLÃO - PALPITES'!Z70,FIND("(",'BOLÃO - PALPITES'!Z70)+1,FIND(")",'BOLÃO - PALPITES'!Z70)-FIND("(",'BOLÃO - PALPITES'!Z70)-1)),0)+IFERROR(VALUE(MID('BOLÃO - PALPITES'!H87,FIND("(",'BOLÃO - PALPITES'!H87)+1,FIND(")",'BOLÃO - PALPITES'!H87)-FIND("(",'BOLÃO - PALPITES'!H87)-1)),0)</f>
        <v>0</v>
      </c>
      <c r="I12" s="5">
        <f>G12*100000+H12*100+(88)</f>
        <v>800088</v>
      </c>
    </row>
    <row r="13" ht="21.75" customHeight="1">
      <c r="A13" s="29">
        <v>10.0</v>
      </c>
      <c r="B13" s="30" t="str">
        <f t="shared" si="1"/>
        <v>Karen Milene</v>
      </c>
      <c r="C13" s="29">
        <f t="shared" si="2"/>
        <v>8</v>
      </c>
      <c r="D13" s="29">
        <f t="shared" si="3"/>
        <v>0</v>
      </c>
      <c r="F13" s="5" t="s">
        <v>66</v>
      </c>
      <c r="G13" s="5">
        <f>IFERROR(VALUE(LEFT('BOLÃO - PALPITES'!D12,FIND(" ",'BOLÃO - PALPITES'!D12)-1)),0)+IFERROR(VALUE(LEFT('BOLÃO - PALPITES'!K12,FIND(" ",'BOLÃO - PALPITES'!K12)-1)),0)+IFERROR(VALUE(LEFT('BOLÃO - PALPITES'!T12,FIND(" ",'BOLÃO - PALPITES'!T12)-1)),0)</f>
        <v>7</v>
      </c>
      <c r="H13" s="5">
        <f>IFERROR(VALUE(MID('BOLÃO - PALPITES'!D12,FIND("(",'BOLÃO - PALPITES'!D12)+1,FIND(")",'BOLÃO - PALPITES'!D12)-FIND("(",'BOLÃO - PALPITES'!D12)-1)),0)+IFERROR(VALUE(MID('BOLÃO - PALPITES'!K12,FIND("(",'BOLÃO - PALPITES'!K12)+1,FIND(")",'BOLÃO - PALPITES'!K12)-FIND("(",'BOLÃO - PALPITES'!K12)-1)),0)+IFERROR(VALUE(MID('BOLÃO - PALPITES'!T12,FIND("(",'BOLÃO - PALPITES'!T12)+1,FIND(")",'BOLÃO - PALPITES'!T12)-FIND("(",'BOLÃO - PALPITES'!T12)-1)),0)</f>
        <v>1</v>
      </c>
      <c r="I13" s="5">
        <f>G13*100000+H13*100+(87)</f>
        <v>700187</v>
      </c>
    </row>
    <row r="14" ht="21.75" customHeight="1">
      <c r="A14" s="29">
        <v>11.0</v>
      </c>
      <c r="B14" s="30" t="str">
        <f t="shared" si="1"/>
        <v>Maria Claudia</v>
      </c>
      <c r="C14" s="29">
        <f t="shared" si="2"/>
        <v>8</v>
      </c>
      <c r="D14" s="29">
        <f t="shared" si="3"/>
        <v>0</v>
      </c>
      <c r="F14" s="5" t="s">
        <v>69</v>
      </c>
      <c r="G14" s="5">
        <f>IFERROR(VALUE(LEFT('BOLÃO - PALPITES'!D13,FIND(" ",'BOLÃO - PALPITES'!D13)-1)),0)+IFERROR(VALUE(LEFT('BOLÃO - PALPITES'!K13,FIND(" ",'BOLÃO - PALPITES'!K13)-1)),0)+IFERROR(VALUE(LEFT('BOLÃO - PALPITES'!T13,FIND(" ",'BOLÃO - PALPITES'!T13)-1)),0)+IFERROR(VALUE(LEFT('BOLÃO - PALPITES'!AA8,FIND(" ",'BOLÃO - PALPITES'!AA8)-1)),0)+IFERROR(VALUE(LEFT('BOLÃO - PALPITES'!AH8,FIND(" ",'BOLÃO - PALPITES'!AH8)-1)),0)+IFERROR(VALUE(LEFT('BOLÃO - PALPITES'!F34,FIND(" ",'BOLÃO - PALPITES'!F34)-1)),0)+IFERROR(VALUE(LEFT('BOLÃO - PALPITES'!M34,FIND(" ",'BOLÃO - PALPITES'!M34)-1)),0)+IFERROR(VALUE(LEFT('BOLÃO - PALPITES'!T34,FIND(" ",'BOLÃO - PALPITES'!T34)-1)),0)+IFERROR(VALUE(LEFT('BOLÃO - PALPITES'!AA34,FIND(" ",'BOLÃO - PALPITES'!AA34)-1)),0)+IFERROR(VALUE(LEFT('BOLÃO - PALPITES'!AH28,FIND(" ",'BOLÃO - PALPITES'!AH28)-1)),0)+IFERROR(VALUE(LEFT('BOLÃO - PALPITES'!F54,FIND(" ",'BOLÃO - PALPITES'!F54)-1)),0)+IFERROR(VALUE(LEFT('BOLÃO - PALPITES'!M54,FIND(" ",'BOLÃO - PALPITES'!M54)-1)),0)+IFERROR(VALUE(LEFT('BOLÃO - PALPITES'!T54,FIND(" ",'BOLÃO - PALPITES'!T54)-1)),0)+IFERROR(VALUE(LEFT('BOLÃO - PALPITES'!H71,FIND(" ",'BOLÃO - PALPITES'!H71)-1)),0)+IFERROR(VALUE(LEFT('BOLÃO - PALPITES'!Q71,FIND(" ",'BOLÃO - PALPITES'!Q71)-1)),0)+IFERROR(VALUE(LEFT('BOLÃO - PALPITES'!Z71,FIND(" ",'BOLÃO - PALPITES'!Z71)-1)),0)+IFERROR(VALUE(LEFT('BOLÃO - PALPITES'!H88,FIND(" ",'BOLÃO - PALPITES'!H88)-1)),0)</f>
        <v>7</v>
      </c>
      <c r="H14" s="5">
        <f>IFERROR(VALUE(MID('BOLÃO - PALPITES'!D13,FIND("(",'BOLÃO - PALPITES'!D13)+1,FIND(")",'BOLÃO - PALPITES'!D13)-FIND("(",'BOLÃO - PALPITES'!D13)-1)),0)+IFERROR(VALUE(MID('BOLÃO - PALPITES'!K13,FIND("(",'BOLÃO - PALPITES'!K13)+1,FIND(")",'BOLÃO - PALPITES'!K13)-FIND("(",'BOLÃO - PALPITES'!K13)-1)),0)+IFERROR(VALUE(MID('BOLÃO - PALPITES'!T13,FIND("(",'BOLÃO - PALPITES'!T13)+1,FIND(")",'BOLÃO - PALPITES'!T13)-FIND("(",'BOLÃO - PALPITES'!T13)-1)),0)+IFERROR(VALUE(MID('BOLÃO - PALPITES'!AA8,FIND("(",'BOLÃO - PALPITES'!AA8)+1,FIND(")",'BOLÃO - PALPITES'!AA8)-FIND("(",'BOLÃO - PALPITES'!AA8)-1)),0)+IFERROR(VALUE(MID('BOLÃO - PALPITES'!AH8,FIND("(",'BOLÃO - PALPITES'!AH8)+1,FIND(")",'BOLÃO - PALPITES'!AH8)-FIND("(",'BOLÃO - PALPITES'!AH8)-1)),0)+IFERROR(VALUE(MID('BOLÃO - PALPITES'!F34,FIND("(",'BOLÃO - PALPITES'!F34)+1,FIND(")",'BOLÃO - PALPITES'!F34)-FIND("(",'BOLÃO - PALPITES'!F34)-1)),0)+IFERROR(VALUE(MID('BOLÃO - PALPITES'!M34,FIND("(",'BOLÃO - PALPITES'!M34)+1,FIND(")",'BOLÃO - PALPITES'!M34)-FIND("(",'BOLÃO - PALPITES'!M34)-1)),0)+IFERROR(VALUE(MID('BOLÃO - PALPITES'!T34,FIND("(",'BOLÃO - PALPITES'!T34)+1,FIND(")",'BOLÃO - PALPITES'!T34)-FIND("(",'BOLÃO - PALPITES'!T34)-1)),0)+IFERROR(VALUE(MID('BOLÃO - PALPITES'!AA34,FIND("(",'BOLÃO - PALPITES'!AA34)+1,FIND(")",'BOLÃO - PALPITES'!AA34)-FIND("(",'BOLÃO - PALPITES'!AA34)-1)),0)+IFERROR(VALUE(MID('BOLÃO - PALPITES'!AH28,FIND("(",'BOLÃO - PALPITES'!AH28)+1,FIND(")",'BOLÃO - PALPITES'!AH28)-FIND("(",'BOLÃO - PALPITES'!AH28)-1)),0)+IFERROR(VALUE(MID('BOLÃO - PALPITES'!F54,FIND("(",'BOLÃO - PALPITES'!F54)+1,FIND(")",'BOLÃO - PALPITES'!F54)-FIND("(",'BOLÃO - PALPITES'!F54)-1)),0)+IFERROR(VALUE(MID('BOLÃO - PALPITES'!M54,FIND("(",'BOLÃO - PALPITES'!M54)+1,FIND(")",'BOLÃO - PALPITES'!M54)-FIND("(",'BOLÃO - PALPITES'!M54)-1)),0)+IFERROR(VALUE(MID('BOLÃO - PALPITES'!T54,FIND("(",'BOLÃO - PALPITES'!T54)+1,FIND(")",'BOLÃO - PALPITES'!T54)-FIND("(",'BOLÃO - PALPITES'!T54)-1)),0)+IFERROR(VALUE(MID('BOLÃO - PALPITES'!H71,FIND("(",'BOLÃO - PALPITES'!H71)+1,FIND(")",'BOLÃO - PALPITES'!H71)-FIND("(",'BOLÃO - PALPITES'!H71)-1)),0)+IFERROR(VALUE(MID('BOLÃO - PALPITES'!Q71,FIND("(",'BOLÃO - PALPITES'!Q71)+1,FIND(")",'BOLÃO - PALPITES'!Q71)-FIND("(",'BOLÃO - PALPITES'!Q71)-1)),0)+IFERROR(VALUE(MID('BOLÃO - PALPITES'!Z71,FIND("(",'BOLÃO - PALPITES'!Z71)+1,FIND(")",'BOLÃO - PALPITES'!Z71)-FIND("(",'BOLÃO - PALPITES'!Z71)-1)),0)+IFERROR(VALUE(MID('BOLÃO - PALPITES'!H88,FIND("(",'BOLÃO - PALPITES'!H88)+1,FIND(")",'BOLÃO - PALPITES'!H88)-FIND("(",'BOLÃO - PALPITES'!H88)-1)),0)</f>
        <v>1</v>
      </c>
      <c r="I14" s="5">
        <f>G14*100000+H14*100+(86)</f>
        <v>700186</v>
      </c>
    </row>
    <row r="15" ht="21.75" customHeight="1">
      <c r="A15" s="29">
        <v>12.0</v>
      </c>
      <c r="B15" s="30" t="str">
        <f t="shared" si="1"/>
        <v>Bernardo</v>
      </c>
      <c r="C15" s="29">
        <f t="shared" si="2"/>
        <v>7</v>
      </c>
      <c r="D15" s="29">
        <f t="shared" si="3"/>
        <v>1</v>
      </c>
      <c r="F15" s="5" t="s">
        <v>71</v>
      </c>
      <c r="G15" s="5">
        <f>IFERROR(VALUE(LEFT('BOLÃO - PALPITES'!D14,FIND(" ",'BOLÃO - PALPITES'!D14)-1)),0)+IFERROR(VALUE(LEFT('BOLÃO - PALPITES'!K14,FIND(" ",'BOLÃO - PALPITES'!K14)-1)),0)+IFERROR(VALUE(LEFT('BOLÃO - PALPITES'!T14,FIND(" ",'BOLÃO - PALPITES'!T14)-1)),0)</f>
        <v>14</v>
      </c>
      <c r="H15" s="5">
        <f>IFERROR(VALUE(MID('BOLÃO - PALPITES'!D14,FIND("(",'BOLÃO - PALPITES'!D14)+1,FIND(")",'BOLÃO - PALPITES'!D14)-FIND("(",'BOLÃO - PALPITES'!D14)-1)),0)+IFERROR(VALUE(MID('BOLÃO - PALPITES'!K14,FIND("(",'BOLÃO - PALPITES'!K14)+1,FIND(")",'BOLÃO - PALPITES'!K14)-FIND("(",'BOLÃO - PALPITES'!K14)-1)),0)+IFERROR(VALUE(MID('BOLÃO - PALPITES'!T14,FIND("(",'BOLÃO - PALPITES'!T14)+1,FIND(")",'BOLÃO - PALPITES'!T14)-FIND("(",'BOLÃO - PALPITES'!T14)-1)),0)</f>
        <v>2</v>
      </c>
      <c r="I15" s="5">
        <f>G15*100000+H15*100+(85)</f>
        <v>1400285</v>
      </c>
    </row>
    <row r="16" ht="21.75" customHeight="1">
      <c r="A16" s="29">
        <v>13.0</v>
      </c>
      <c r="B16" s="30" t="str">
        <f t="shared" si="1"/>
        <v>Karolyne Azola</v>
      </c>
      <c r="C16" s="29">
        <f t="shared" si="2"/>
        <v>7</v>
      </c>
      <c r="D16" s="29">
        <f t="shared" si="3"/>
        <v>1</v>
      </c>
      <c r="F16" s="5" t="s">
        <v>73</v>
      </c>
      <c r="G16" s="5">
        <f>IFERROR(VALUE(LEFT('BOLÃO - PALPITES'!D15,FIND(" ",'BOLÃO - PALPITES'!D15)-1)),0)+IFERROR(VALUE(LEFT('BOLÃO - PALPITES'!K15,FIND(" ",'BOLÃO - PALPITES'!K15)-1)),0)+IFERROR(VALUE(LEFT('BOLÃO - PALPITES'!T15,FIND(" ",'BOLÃO - PALPITES'!T15)-1)),0)</f>
        <v>17</v>
      </c>
      <c r="H16" s="5">
        <f>IFERROR(VALUE(MID('BOLÃO - PALPITES'!D15,FIND("(",'BOLÃO - PALPITES'!D15)+1,FIND(")",'BOLÃO - PALPITES'!D15)-FIND("(",'BOLÃO - PALPITES'!D15)-1)),0)+IFERROR(VALUE(MID('BOLÃO - PALPITES'!K15,FIND("(",'BOLÃO - PALPITES'!K15)+1,FIND(")",'BOLÃO - PALPITES'!K15)-FIND("(",'BOLÃO - PALPITES'!K15)-1)),0)+IFERROR(VALUE(MID('BOLÃO - PALPITES'!T15,FIND("(",'BOLÃO - PALPITES'!T15)+1,FIND(")",'BOLÃO - PALPITES'!T15)-FIND("(",'BOLÃO - PALPITES'!T15)-1)),0)</f>
        <v>3</v>
      </c>
      <c r="I16" s="5">
        <f>G16*100000+H16*100+(84)</f>
        <v>1700384</v>
      </c>
    </row>
    <row r="17" ht="21.75" customHeight="1">
      <c r="A17" s="29">
        <v>14.0</v>
      </c>
      <c r="B17" s="30" t="str">
        <f t="shared" si="1"/>
        <v>Lucas de Morais</v>
      </c>
      <c r="C17" s="29">
        <f t="shared" si="2"/>
        <v>7</v>
      </c>
      <c r="D17" s="29">
        <f t="shared" si="3"/>
        <v>1</v>
      </c>
      <c r="F17" s="5" t="s">
        <v>74</v>
      </c>
      <c r="G17" s="5">
        <f>IFERROR(VALUE(LEFT('BOLÃO - PALPITES'!D16,FIND(" ",'BOLÃO - PALPITES'!D16)-1)),0)+IFERROR(VALUE(LEFT('BOLÃO - PALPITES'!K16,FIND(" ",'BOLÃO - PALPITES'!K16)-1)),0)+IFERROR(VALUE(LEFT('BOLÃO - PALPITES'!T16,FIND(" ",'BOLÃO - PALPITES'!T16)-1)),0)+IFERROR(VALUE(LEFT('BOLÃO - PALPITES'!AA9,FIND(" ",'BOLÃO - PALPITES'!AA9)-1)),0)+IFERROR(VALUE(LEFT('BOLÃO - PALPITES'!AH9,FIND(" ",'BOLÃO - PALPITES'!AH9)-1)),0)+IFERROR(VALUE(LEFT('BOLÃO - PALPITES'!F35,FIND(" ",'BOLÃO - PALPITES'!F35)-1)),0)+IFERROR(VALUE(LEFT('BOLÃO - PALPITES'!M35,FIND(" ",'BOLÃO - PALPITES'!M35)-1)),0)+IFERROR(VALUE(LEFT('BOLÃO - PALPITES'!T35,FIND(" ",'BOLÃO - PALPITES'!T35)-1)),0)+IFERROR(VALUE(LEFT('BOLÃO - PALPITES'!AA35,FIND(" ",'BOLÃO - PALPITES'!AA35)-1)),0)+IFERROR(VALUE(LEFT('BOLÃO - PALPITES'!AH29,FIND(" ",'BOLÃO - PALPITES'!AH29)-1)),0)+IFERROR(VALUE(LEFT('BOLÃO - PALPITES'!F55,FIND(" ",'BOLÃO - PALPITES'!F55)-1)),0)+IFERROR(VALUE(LEFT('BOLÃO - PALPITES'!M55,FIND(" ",'BOLÃO - PALPITES'!M55)-1)),0)+IFERROR(VALUE(LEFT('BOLÃO - PALPITES'!T55,FIND(" ",'BOLÃO - PALPITES'!T55)-1)),0)+IFERROR(VALUE(LEFT('BOLÃO - PALPITES'!H72,FIND(" ",'BOLÃO - PALPITES'!H72)-1)),0)+IFERROR(VALUE(LEFT('BOLÃO - PALPITES'!Q72,FIND(" ",'BOLÃO - PALPITES'!Q72)-1)),0)+IFERROR(VALUE(LEFT('BOLÃO - PALPITES'!Z72,FIND(" ",'BOLÃO - PALPITES'!Z72)-1)),0)+IFERROR(VALUE(LEFT('BOLÃO - PALPITES'!H89,FIND(" ",'BOLÃO - PALPITES'!H89)-1)),0)</f>
        <v>6</v>
      </c>
      <c r="H17" s="5">
        <f>IFERROR(VALUE(MID('BOLÃO - PALPITES'!D16,FIND("(",'BOLÃO - PALPITES'!D16)+1,FIND(")",'BOLÃO - PALPITES'!D16)-FIND("(",'BOLÃO - PALPITES'!D16)-1)),0)+IFERROR(VALUE(MID('BOLÃO - PALPITES'!K16,FIND("(",'BOLÃO - PALPITES'!K16)+1,FIND(")",'BOLÃO - PALPITES'!K16)-FIND("(",'BOLÃO - PALPITES'!K16)-1)),0)+IFERROR(VALUE(MID('BOLÃO - PALPITES'!T16,FIND("(",'BOLÃO - PALPITES'!T16)+1,FIND(")",'BOLÃO - PALPITES'!T16)-FIND("(",'BOLÃO - PALPITES'!T16)-1)),0)+IFERROR(VALUE(MID('BOLÃO - PALPITES'!AA9,FIND("(",'BOLÃO - PALPITES'!AA9)+1,FIND(")",'BOLÃO - PALPITES'!AA9)-FIND("(",'BOLÃO - PALPITES'!AA9)-1)),0)+IFERROR(VALUE(MID('BOLÃO - PALPITES'!AH9,FIND("(",'BOLÃO - PALPITES'!AH9)+1,FIND(")",'BOLÃO - PALPITES'!AH9)-FIND("(",'BOLÃO - PALPITES'!AH9)-1)),0)+IFERROR(VALUE(MID('BOLÃO - PALPITES'!F35,FIND("(",'BOLÃO - PALPITES'!F35)+1,FIND(")",'BOLÃO - PALPITES'!F35)-FIND("(",'BOLÃO - PALPITES'!F35)-1)),0)+IFERROR(VALUE(MID('BOLÃO - PALPITES'!M35,FIND("(",'BOLÃO - PALPITES'!M35)+1,FIND(")",'BOLÃO - PALPITES'!M35)-FIND("(",'BOLÃO - PALPITES'!M35)-1)),0)+IFERROR(VALUE(MID('BOLÃO - PALPITES'!T35,FIND("(",'BOLÃO - PALPITES'!T35)+1,FIND(")",'BOLÃO - PALPITES'!T35)-FIND("(",'BOLÃO - PALPITES'!T35)-1)),0)+IFERROR(VALUE(MID('BOLÃO - PALPITES'!AA35,FIND("(",'BOLÃO - PALPITES'!AA35)+1,FIND(")",'BOLÃO - PALPITES'!AA35)-FIND("(",'BOLÃO - PALPITES'!AA35)-1)),0)+IFERROR(VALUE(MID('BOLÃO - PALPITES'!AH29,FIND("(",'BOLÃO - PALPITES'!AH29)+1,FIND(")",'BOLÃO - PALPITES'!AH29)-FIND("(",'BOLÃO - PALPITES'!AH29)-1)),0)+IFERROR(VALUE(MID('BOLÃO - PALPITES'!F55,FIND("(",'BOLÃO - PALPITES'!F55)+1,FIND(")",'BOLÃO - PALPITES'!F55)-FIND("(",'BOLÃO - PALPITES'!F55)-1)),0)+IFERROR(VALUE(MID('BOLÃO - PALPITES'!M55,FIND("(",'BOLÃO - PALPITES'!M55)+1,FIND(")",'BOLÃO - PALPITES'!M55)-FIND("(",'BOLÃO - PALPITES'!M55)-1)),0)+IFERROR(VALUE(MID('BOLÃO - PALPITES'!T55,FIND("(",'BOLÃO - PALPITES'!T55)+1,FIND(")",'BOLÃO - PALPITES'!T55)-FIND("(",'BOLÃO - PALPITES'!T55)-1)),0)+IFERROR(VALUE(MID('BOLÃO - PALPITES'!H72,FIND("(",'BOLÃO - PALPITES'!H72)+1,FIND(")",'BOLÃO - PALPITES'!H72)-FIND("(",'BOLÃO - PALPITES'!H72)-1)),0)+IFERROR(VALUE(MID('BOLÃO - PALPITES'!Q72,FIND("(",'BOLÃO - PALPITES'!Q72)+1,FIND(")",'BOLÃO - PALPITES'!Q72)-FIND("(",'BOLÃO - PALPITES'!Q72)-1)),0)+IFERROR(VALUE(MID('BOLÃO - PALPITES'!Z72,FIND("(",'BOLÃO - PALPITES'!Z72)+1,FIND(")",'BOLÃO - PALPITES'!Z72)-FIND("(",'BOLÃO - PALPITES'!Z72)-1)),0)+IFERROR(VALUE(MID('BOLÃO - PALPITES'!H89,FIND("(",'BOLÃO - PALPITES'!H89)+1,FIND(")",'BOLÃO - PALPITES'!H89)-FIND("(",'BOLÃO - PALPITES'!H89)-1)),0)</f>
        <v>0</v>
      </c>
      <c r="I17" s="5">
        <f>G17*100000+H17*100+(83)</f>
        <v>600083</v>
      </c>
    </row>
    <row r="18" ht="21.75" customHeight="1">
      <c r="A18" s="29">
        <v>15.0</v>
      </c>
      <c r="B18" s="30" t="str">
        <f t="shared" si="1"/>
        <v>Vinicius</v>
      </c>
      <c r="C18" s="29">
        <f t="shared" si="2"/>
        <v>7</v>
      </c>
      <c r="D18" s="29">
        <f t="shared" si="3"/>
        <v>1</v>
      </c>
      <c r="F18" s="5" t="s">
        <v>78</v>
      </c>
      <c r="G18" s="5">
        <f>IFERROR(VALUE(LEFT('BOLÃO - PALPITES'!D17,FIND(" ",'BOLÃO - PALPITES'!D17)-1)),0)+IFERROR(VALUE(LEFT('BOLÃO - PALPITES'!K17,FIND(" ",'BOLÃO - PALPITES'!K17)-1)),0)+IFERROR(VALUE(LEFT('BOLÃO - PALPITES'!T17,FIND(" ",'BOLÃO - PALPITES'!T17)-1)),0)</f>
        <v>8</v>
      </c>
      <c r="H18" s="5">
        <f>IFERROR(VALUE(MID('BOLÃO - PALPITES'!D17,FIND("(",'BOLÃO - PALPITES'!D17)+1,FIND(")",'BOLÃO - PALPITES'!D17)-FIND("(",'BOLÃO - PALPITES'!D17)-1)),0)+IFERROR(VALUE(MID('BOLÃO - PALPITES'!K17,FIND("(",'BOLÃO - PALPITES'!K17)+1,FIND(")",'BOLÃO - PALPITES'!K17)-FIND("(",'BOLÃO - PALPITES'!K17)-1)),0)+IFERROR(VALUE(MID('BOLÃO - PALPITES'!T17,FIND("(",'BOLÃO - PALPITES'!T17)+1,FIND(")",'BOLÃO - PALPITES'!T17)-FIND("(",'BOLÃO - PALPITES'!T17)-1)),0)</f>
        <v>0</v>
      </c>
      <c r="I18" s="5">
        <f>G18*100000+H18*100+(82)</f>
        <v>800082</v>
      </c>
    </row>
    <row r="19" ht="21.75" customHeight="1">
      <c r="A19" s="29">
        <v>16.0</v>
      </c>
      <c r="B19" s="30" t="str">
        <f t="shared" si="1"/>
        <v>Maria Clara Alonso</v>
      </c>
      <c r="C19" s="29">
        <f t="shared" si="2"/>
        <v>6</v>
      </c>
      <c r="D19" s="29">
        <f t="shared" si="3"/>
        <v>0</v>
      </c>
      <c r="F19" s="5" t="s">
        <v>81</v>
      </c>
      <c r="G19" s="5">
        <f>IFERROR(VALUE(LEFT('BOLÃO - PALPITES'!D18,FIND(" ",'BOLÃO - PALPITES'!D18)-1)),0)+IFERROR(VALUE(LEFT('BOLÃO - PALPITES'!K18,FIND(" ",'BOLÃO - PALPITES'!K18)-1)),0)+IFERROR(VALUE(LEFT('BOLÃO - PALPITES'!T18,FIND(" ",'BOLÃO - PALPITES'!T18)-1)),0)</f>
        <v>6</v>
      </c>
      <c r="H19" s="5">
        <f>IFERROR(VALUE(MID('BOLÃO - PALPITES'!D18,FIND("(",'BOLÃO - PALPITES'!D18)+1,FIND(")",'BOLÃO - PALPITES'!D18)-FIND("(",'BOLÃO - PALPITES'!D18)-1)),0)+IFERROR(VALUE(MID('BOLÃO - PALPITES'!K18,FIND("(",'BOLÃO - PALPITES'!K18)+1,FIND(")",'BOLÃO - PALPITES'!K18)-FIND("(",'BOLÃO - PALPITES'!K18)-1)),0)+IFERROR(VALUE(MID('BOLÃO - PALPITES'!T18,FIND("(",'BOLÃO - PALPITES'!T18)+1,FIND(")",'BOLÃO - PALPITES'!T18)-FIND("(",'BOLÃO - PALPITES'!T18)-1)),0)</f>
        <v>0</v>
      </c>
      <c r="I19" s="5">
        <f>G19*100000+H19*100+(81)</f>
        <v>600081</v>
      </c>
    </row>
    <row r="20" ht="21.75" customHeight="1">
      <c r="A20" s="29">
        <v>17.0</v>
      </c>
      <c r="B20" s="30" t="str">
        <f t="shared" si="1"/>
        <v>Mateus Hirata</v>
      </c>
      <c r="C20" s="29">
        <f t="shared" si="2"/>
        <v>6</v>
      </c>
      <c r="D20" s="29">
        <f t="shared" si="3"/>
        <v>0</v>
      </c>
      <c r="F20" s="5" t="s">
        <v>62</v>
      </c>
      <c r="G20" s="5">
        <f>IFERROR(VALUE(LEFT('BOLÃO - PALPITES'!D19,FIND(" ",'BOLÃO - PALPITES'!D19)-1)),0)+IFERROR(VALUE(LEFT('BOLÃO - PALPITES'!K19,FIND(" ",'BOLÃO - PALPITES'!K19)-1)),0)+IFERROR(VALUE(LEFT('BOLÃO - PALPITES'!T19,FIND(" ",'BOLÃO - PALPITES'!T19)-1)),0)+IFERROR(VALUE(LEFT('BOLÃO - PALPITES'!AA10,FIND(" ",'BOLÃO - PALPITES'!AA10)-1)),0)+IFERROR(VALUE(LEFT('BOLÃO - PALPITES'!AH10,FIND(" ",'BOLÃO - PALPITES'!AH10)-1)),0)+IFERROR(VALUE(LEFT('BOLÃO - PALPITES'!F36,FIND(" ",'BOLÃO - PALPITES'!F36)-1)),0)+IFERROR(VALUE(LEFT('BOLÃO - PALPITES'!M36,FIND(" ",'BOLÃO - PALPITES'!M36)-1)),0)+IFERROR(VALUE(LEFT('BOLÃO - PALPITES'!T36,FIND(" ",'BOLÃO - PALPITES'!T36)-1)),0)+IFERROR(VALUE(LEFT('BOLÃO - PALPITES'!AA36,FIND(" ",'BOLÃO - PALPITES'!AA36)-1)),0)+IFERROR(VALUE(LEFT('BOLÃO - PALPITES'!AH30,FIND(" ",'BOLÃO - PALPITES'!AH30)-1)),0)+IFERROR(VALUE(LEFT('BOLÃO - PALPITES'!F56,FIND(" ",'BOLÃO - PALPITES'!F56)-1)),0)+IFERROR(VALUE(LEFT('BOLÃO - PALPITES'!M56,FIND(" ",'BOLÃO - PALPITES'!M56)-1)),0)+IFERROR(VALUE(LEFT('BOLÃO - PALPITES'!T56,FIND(" ",'BOLÃO - PALPITES'!T56)-1)),0)+IFERROR(VALUE(LEFT('BOLÃO - PALPITES'!H73,FIND(" ",'BOLÃO - PALPITES'!H73)-1)),0)+IFERROR(VALUE(LEFT('BOLÃO - PALPITES'!Q73,FIND(" ",'BOLÃO - PALPITES'!Q73)-1)),0)+IFERROR(VALUE(LEFT('BOLÃO - PALPITES'!Z73,FIND(" ",'BOLÃO - PALPITES'!Z73)-1)),0)+IFERROR(VALUE(LEFT('BOLÃO - PALPITES'!H90,FIND(" ",'BOLÃO - PALPITES'!H90)-1)),0)</f>
        <v>4</v>
      </c>
      <c r="H20" s="5">
        <f>IFERROR(VALUE(MID('BOLÃO - PALPITES'!D19,FIND("(",'BOLÃO - PALPITES'!D19)+1,FIND(")",'BOLÃO - PALPITES'!D19)-FIND("(",'BOLÃO - PALPITES'!D19)-1)),0)+IFERROR(VALUE(MID('BOLÃO - PALPITES'!K19,FIND("(",'BOLÃO - PALPITES'!K19)+1,FIND(")",'BOLÃO - PALPITES'!K19)-FIND("(",'BOLÃO - PALPITES'!K19)-1)),0)+IFERROR(VALUE(MID('BOLÃO - PALPITES'!T19,FIND("(",'BOLÃO - PALPITES'!T19)+1,FIND(")",'BOLÃO - PALPITES'!T19)-FIND("(",'BOLÃO - PALPITES'!T19)-1)),0)+IFERROR(VALUE(MID('BOLÃO - PALPITES'!AA10,FIND("(",'BOLÃO - PALPITES'!AA10)+1,FIND(")",'BOLÃO - PALPITES'!AA10)-FIND("(",'BOLÃO - PALPITES'!AA10)-1)),0)+IFERROR(VALUE(MID('BOLÃO - PALPITES'!AH10,FIND("(",'BOLÃO - PALPITES'!AH10)+1,FIND(")",'BOLÃO - PALPITES'!AH10)-FIND("(",'BOLÃO - PALPITES'!AH10)-1)),0)+IFERROR(VALUE(MID('BOLÃO - PALPITES'!F36,FIND("(",'BOLÃO - PALPITES'!F36)+1,FIND(")",'BOLÃO - PALPITES'!F36)-FIND("(",'BOLÃO - PALPITES'!F36)-1)),0)+IFERROR(VALUE(MID('BOLÃO - PALPITES'!M36,FIND("(",'BOLÃO - PALPITES'!M36)+1,FIND(")",'BOLÃO - PALPITES'!M36)-FIND("(",'BOLÃO - PALPITES'!M36)-1)),0)+IFERROR(VALUE(MID('BOLÃO - PALPITES'!T36,FIND("(",'BOLÃO - PALPITES'!T36)+1,FIND(")",'BOLÃO - PALPITES'!T36)-FIND("(",'BOLÃO - PALPITES'!T36)-1)),0)+IFERROR(VALUE(MID('BOLÃO - PALPITES'!AA36,FIND("(",'BOLÃO - PALPITES'!AA36)+1,FIND(")",'BOLÃO - PALPITES'!AA36)-FIND("(",'BOLÃO - PALPITES'!AA36)-1)),0)+IFERROR(VALUE(MID('BOLÃO - PALPITES'!AH30,FIND("(",'BOLÃO - PALPITES'!AH30)+1,FIND(")",'BOLÃO - PALPITES'!AH30)-FIND("(",'BOLÃO - PALPITES'!AH30)-1)),0)+IFERROR(VALUE(MID('BOLÃO - PALPITES'!F56,FIND("(",'BOLÃO - PALPITES'!F56)+1,FIND(")",'BOLÃO - PALPITES'!F56)-FIND("(",'BOLÃO - PALPITES'!F56)-1)),0)+IFERROR(VALUE(MID('BOLÃO - PALPITES'!M56,FIND("(",'BOLÃO - PALPITES'!M56)+1,FIND(")",'BOLÃO - PALPITES'!M56)-FIND("(",'BOLÃO - PALPITES'!M56)-1)),0)+IFERROR(VALUE(MID('BOLÃO - PALPITES'!T56,FIND("(",'BOLÃO - PALPITES'!T56)+1,FIND(")",'BOLÃO - PALPITES'!T56)-FIND("(",'BOLÃO - PALPITES'!T56)-1)),0)+IFERROR(VALUE(MID('BOLÃO - PALPITES'!H73,FIND("(",'BOLÃO - PALPITES'!H73)+1,FIND(")",'BOLÃO - PALPITES'!H73)-FIND("(",'BOLÃO - PALPITES'!H73)-1)),0)+IFERROR(VALUE(MID('BOLÃO - PALPITES'!Q73,FIND("(",'BOLÃO - PALPITES'!Q73)+1,FIND(")",'BOLÃO - PALPITES'!Q73)-FIND("(",'BOLÃO - PALPITES'!Q73)-1)),0)+IFERROR(VALUE(MID('BOLÃO - PALPITES'!Z73,FIND("(",'BOLÃO - PALPITES'!Z73)+1,FIND(")",'BOLÃO - PALPITES'!Z73)-FIND("(",'BOLÃO - PALPITES'!Z73)-1)),0)+IFERROR(VALUE(MID('BOLÃO - PALPITES'!H90,FIND("(",'BOLÃO - PALPITES'!H90)+1,FIND(")",'BOLÃO - PALPITES'!H90)-FIND("(",'BOLÃO - PALPITES'!H90)-1)),0)</f>
        <v>0</v>
      </c>
      <c r="I20" s="5">
        <f>G20*100000+H20*100+(80)</f>
        <v>400080</v>
      </c>
    </row>
    <row r="21" ht="21.75" customHeight="1">
      <c r="A21" s="29">
        <v>18.0</v>
      </c>
      <c r="B21" s="30" t="str">
        <f t="shared" si="1"/>
        <v>Alisson Garcia</v>
      </c>
      <c r="C21" s="29">
        <f t="shared" si="2"/>
        <v>4</v>
      </c>
      <c r="D21" s="29">
        <f t="shared" si="3"/>
        <v>0</v>
      </c>
      <c r="F21" s="5" t="s">
        <v>83</v>
      </c>
      <c r="G21" s="5">
        <f>IFERROR(VALUE(LEFT('BOLÃO - PALPITES'!D20,FIND(" ",'BOLÃO - PALPITES'!D20)-1)),0)+IFERROR(VALUE(LEFT('BOLÃO - PALPITES'!K20,FIND(" ",'BOLÃO - PALPITES'!K20)-1)),0)+IFERROR(VALUE(LEFT('BOLÃO - PALPITES'!T20,FIND(" ",'BOLÃO - PALPITES'!T20)-1)),0)</f>
        <v>11</v>
      </c>
      <c r="H21" s="5">
        <f>IFERROR(VALUE(MID('BOLÃO - PALPITES'!D20,FIND("(",'BOLÃO - PALPITES'!D20)+1,FIND(")",'BOLÃO - PALPITES'!D20)-FIND("(",'BOLÃO - PALPITES'!D20)-1)),0)+IFERROR(VALUE(MID('BOLÃO - PALPITES'!K20,FIND("(",'BOLÃO - PALPITES'!K20)+1,FIND(")",'BOLÃO - PALPITES'!K20)-FIND("(",'BOLÃO - PALPITES'!K20)-1)),0)+IFERROR(VALUE(MID('BOLÃO - PALPITES'!T20,FIND("(",'BOLÃO - PALPITES'!T20)+1,FIND(")",'BOLÃO - PALPITES'!T20)-FIND("(",'BOLÃO - PALPITES'!T20)-1)),0)</f>
        <v>1</v>
      </c>
      <c r="I21" s="5">
        <f>G21*100000+H21*100+(79)</f>
        <v>1100179</v>
      </c>
    </row>
    <row r="22" ht="21.75" customHeight="1">
      <c r="A22" s="29">
        <v>19.0</v>
      </c>
      <c r="B22" s="30" t="str">
        <f t="shared" si="1"/>
        <v>Brenno Vergara</v>
      </c>
      <c r="C22" s="29">
        <f t="shared" si="2"/>
        <v>4</v>
      </c>
      <c r="D22" s="29">
        <f t="shared" si="3"/>
        <v>0</v>
      </c>
      <c r="F22" s="5" t="s">
        <v>89</v>
      </c>
      <c r="G22" s="5">
        <f>IFERROR(VALUE(LEFT('BOLÃO - PALPITES'!D21,FIND(" ",'BOLÃO - PALPITES'!D21)-1)),0)+IFERROR(VALUE(LEFT('BOLÃO - PALPITES'!K21,FIND(" ",'BOLÃO - PALPITES'!K21)-1)),0)+IFERROR(VALUE(LEFT('BOLÃO - PALPITES'!T21,FIND(" ",'BOLÃO - PALPITES'!T21)-1)),0)</f>
        <v>2</v>
      </c>
      <c r="H22" s="5">
        <f>IFERROR(VALUE(MID('BOLÃO - PALPITES'!D21,FIND("(",'BOLÃO - PALPITES'!D21)+1,FIND(")",'BOLÃO - PALPITES'!D21)-FIND("(",'BOLÃO - PALPITES'!D21)-1)),0)+IFERROR(VALUE(MID('BOLÃO - PALPITES'!K21,FIND("(",'BOLÃO - PALPITES'!K21)+1,FIND(")",'BOLÃO - PALPITES'!K21)-FIND("(",'BOLÃO - PALPITES'!K21)-1)),0)+IFERROR(VALUE(MID('BOLÃO - PALPITES'!T21,FIND("(",'BOLÃO - PALPITES'!T21)+1,FIND(")",'BOLÃO - PALPITES'!T21)-FIND("(",'BOLÃO - PALPITES'!T21)-1)),0)</f>
        <v>0</v>
      </c>
      <c r="I22" s="5">
        <f>G22*100000+H22*100+(78)</f>
        <v>200078</v>
      </c>
    </row>
    <row r="23" ht="21.75" customHeight="1">
      <c r="A23" s="29">
        <v>20.0</v>
      </c>
      <c r="B23" s="30" t="str">
        <f t="shared" si="1"/>
        <v>Nicolas</v>
      </c>
      <c r="C23" s="29">
        <f t="shared" si="2"/>
        <v>4</v>
      </c>
      <c r="D23" s="29">
        <f t="shared" si="3"/>
        <v>0</v>
      </c>
      <c r="F23" s="5" t="s">
        <v>92</v>
      </c>
      <c r="G23" s="5">
        <f>IFERROR(VALUE(LEFT('BOLÃO - PALPITES'!D22,FIND(" ",'BOLÃO - PALPITES'!D22)-1)),0)+IFERROR(VALUE(LEFT('BOLÃO - PALPITES'!K22,FIND(" ",'BOLÃO - PALPITES'!K22)-1)),0)+IFERROR(VALUE(LEFT('BOLÃO - PALPITES'!T22,FIND(" ",'BOLÃO - PALPITES'!T22)-1)),0)+IFERROR(VALUE(LEFT('BOLÃO - PALPITES'!AA11,FIND(" ",'BOLÃO - PALPITES'!AA11)-1)),0)+IFERROR(VALUE(LEFT('BOLÃO - PALPITES'!AH11,FIND(" ",'BOLÃO - PALPITES'!AH11)-1)),0)+IFERROR(VALUE(LEFT('BOLÃO - PALPITES'!F37,FIND(" ",'BOLÃO - PALPITES'!F37)-1)),0)+IFERROR(VALUE(LEFT('BOLÃO - PALPITES'!M37,FIND(" ",'BOLÃO - PALPITES'!M37)-1)),0)+IFERROR(VALUE(LEFT('BOLÃO - PALPITES'!T37,FIND(" ",'BOLÃO - PALPITES'!T37)-1)),0)+IFERROR(VALUE(LEFT('BOLÃO - PALPITES'!AA37,FIND(" ",'BOLÃO - PALPITES'!AA37)-1)),0)+IFERROR(VALUE(LEFT('BOLÃO - PALPITES'!AH31,FIND(" ",'BOLÃO - PALPITES'!AH31)-1)),0)+IFERROR(VALUE(LEFT('BOLÃO - PALPITES'!F57,FIND(" ",'BOLÃO - PALPITES'!F57)-1)),0)+IFERROR(VALUE(LEFT('BOLÃO - PALPITES'!M57,FIND(" ",'BOLÃO - PALPITES'!M57)-1)),0)+IFERROR(VALUE(LEFT('BOLÃO - PALPITES'!T57,FIND(" ",'BOLÃO - PALPITES'!T57)-1)),0)+IFERROR(VALUE(LEFT('BOLÃO - PALPITES'!H74,FIND(" ",'BOLÃO - PALPITES'!H74)-1)),0)+IFERROR(VALUE(LEFT('BOLÃO - PALPITES'!Q74,FIND(" ",'BOLÃO - PALPITES'!Q74)-1)),0)+IFERROR(VALUE(LEFT('BOLÃO - PALPITES'!Z74,FIND(" ",'BOLÃO - PALPITES'!Z74)-1)),0)+IFERROR(VALUE(LEFT('BOLÃO - PALPITES'!H91,FIND(" ",'BOLÃO - PALPITES'!H91)-1)),0)</f>
        <v>17</v>
      </c>
      <c r="H23" s="5">
        <f>IFERROR(VALUE(MID('BOLÃO - PALPITES'!D22,FIND("(",'BOLÃO - PALPITES'!D22)+1,FIND(")",'BOLÃO - PALPITES'!D22)-FIND("(",'BOLÃO - PALPITES'!D22)-1)),0)+IFERROR(VALUE(MID('BOLÃO - PALPITES'!K22,FIND("(",'BOLÃO - PALPITES'!K22)+1,FIND(")",'BOLÃO - PALPITES'!K22)-FIND("(",'BOLÃO - PALPITES'!K22)-1)),0)+IFERROR(VALUE(MID('BOLÃO - PALPITES'!T22,FIND("(",'BOLÃO - PALPITES'!T22)+1,FIND(")",'BOLÃO - PALPITES'!T22)-FIND("(",'BOLÃO - PALPITES'!T22)-1)),0)+IFERROR(VALUE(MID('BOLÃO - PALPITES'!AA11,FIND("(",'BOLÃO - PALPITES'!AA11)+1,FIND(")",'BOLÃO - PALPITES'!AA11)-FIND("(",'BOLÃO - PALPITES'!AA11)-1)),0)+IFERROR(VALUE(MID('BOLÃO - PALPITES'!AH11,FIND("(",'BOLÃO - PALPITES'!AH11)+1,FIND(")",'BOLÃO - PALPITES'!AH11)-FIND("(",'BOLÃO - PALPITES'!AH11)-1)),0)+IFERROR(VALUE(MID('BOLÃO - PALPITES'!F37,FIND("(",'BOLÃO - PALPITES'!F37)+1,FIND(")",'BOLÃO - PALPITES'!F37)-FIND("(",'BOLÃO - PALPITES'!F37)-1)),0)+IFERROR(VALUE(MID('BOLÃO - PALPITES'!M37,FIND("(",'BOLÃO - PALPITES'!M37)+1,FIND(")",'BOLÃO - PALPITES'!M37)-FIND("(",'BOLÃO - PALPITES'!M37)-1)),0)+IFERROR(VALUE(MID('BOLÃO - PALPITES'!T37,FIND("(",'BOLÃO - PALPITES'!T37)+1,FIND(")",'BOLÃO - PALPITES'!T37)-FIND("(",'BOLÃO - PALPITES'!T37)-1)),0)+IFERROR(VALUE(MID('BOLÃO - PALPITES'!AA37,FIND("(",'BOLÃO - PALPITES'!AA37)+1,FIND(")",'BOLÃO - PALPITES'!AA37)-FIND("(",'BOLÃO - PALPITES'!AA37)-1)),0)+IFERROR(VALUE(MID('BOLÃO - PALPITES'!AH31,FIND("(",'BOLÃO - PALPITES'!AH31)+1,FIND(")",'BOLÃO - PALPITES'!AH31)-FIND("(",'BOLÃO - PALPITES'!AH31)-1)),0)+IFERROR(VALUE(MID('BOLÃO - PALPITES'!F57,FIND("(",'BOLÃO - PALPITES'!F57)+1,FIND(")",'BOLÃO - PALPITES'!F57)-FIND("(",'BOLÃO - PALPITES'!F57)-1)),0)+IFERROR(VALUE(MID('BOLÃO - PALPITES'!M57,FIND("(",'BOLÃO - PALPITES'!M57)+1,FIND(")",'BOLÃO - PALPITES'!M57)-FIND("(",'BOLÃO - PALPITES'!M57)-1)),0)+IFERROR(VALUE(MID('BOLÃO - PALPITES'!T57,FIND("(",'BOLÃO - PALPITES'!T57)+1,FIND(")",'BOLÃO - PALPITES'!T57)-FIND("(",'BOLÃO - PALPITES'!T57)-1)),0)+IFERROR(VALUE(MID('BOLÃO - PALPITES'!H74,FIND("(",'BOLÃO - PALPITES'!H74)+1,FIND(")",'BOLÃO - PALPITES'!H74)-FIND("(",'BOLÃO - PALPITES'!H74)-1)),0)+IFERROR(VALUE(MID('BOLÃO - PALPITES'!Q74,FIND("(",'BOLÃO - PALPITES'!Q74)+1,FIND(")",'BOLÃO - PALPITES'!Q74)-FIND("(",'BOLÃO - PALPITES'!Q74)-1)),0)+IFERROR(VALUE(MID('BOLÃO - PALPITES'!Z74,FIND("(",'BOLÃO - PALPITES'!Z74)+1,FIND(")",'BOLÃO - PALPITES'!Z74)-FIND("(",'BOLÃO - PALPITES'!Z74)-1)),0)+IFERROR(VALUE(MID('BOLÃO - PALPITES'!H91,FIND("(",'BOLÃO - PALPITES'!H91)+1,FIND(")",'BOLÃO - PALPITES'!H91)-FIND("(",'BOLÃO - PALPITES'!H91)-1)),0)</f>
        <v>3</v>
      </c>
      <c r="I23" s="5">
        <f>G23*100000+H23*100+(77)</f>
        <v>1700377</v>
      </c>
    </row>
    <row r="24" ht="21.75" customHeight="1">
      <c r="A24" s="29">
        <v>21.0</v>
      </c>
      <c r="B24" s="30" t="str">
        <f t="shared" si="1"/>
        <v>Vitor de Souza</v>
      </c>
      <c r="C24" s="29">
        <f t="shared" si="2"/>
        <v>4</v>
      </c>
      <c r="D24" s="29">
        <f t="shared" si="3"/>
        <v>0</v>
      </c>
      <c r="F24" s="5" t="s">
        <v>68</v>
      </c>
      <c r="G24" s="5">
        <f>IFERROR(VALUE(LEFT('BOLÃO - PALPITES'!D23,FIND(" ",'BOLÃO - PALPITES'!D23)-1)),0)+IFERROR(VALUE(LEFT('BOLÃO - PALPITES'!K23,FIND(" ",'BOLÃO - PALPITES'!K23)-1)),0)+IFERROR(VALUE(LEFT('BOLÃO - PALPITES'!T23,FIND(" ",'BOLÃO - PALPITES'!T23)-1)),0)+IFERROR(VALUE(LEFT('BOLÃO - PALPITES'!AA12,FIND(" ",'BOLÃO - PALPITES'!AA12)-1)),0)+IFERROR(VALUE(LEFT('BOLÃO - PALPITES'!AH12,FIND(" ",'BOLÃO - PALPITES'!AH12)-1)),0)+IFERROR(VALUE(LEFT('BOLÃO - PALPITES'!F38,FIND(" ",'BOLÃO - PALPITES'!F38)-1)),0)+IFERROR(VALUE(LEFT('BOLÃO - PALPITES'!M38,FIND(" ",'BOLÃO - PALPITES'!M38)-1)),0)+IFERROR(VALUE(LEFT('BOLÃO - PALPITES'!T38,FIND(" ",'BOLÃO - PALPITES'!T38)-1)),0)+IFERROR(VALUE(LEFT('BOLÃO - PALPITES'!AA38,FIND(" ",'BOLÃO - PALPITES'!AA38)-1)),0)+IFERROR(VALUE(LEFT('BOLÃO - PALPITES'!AH32,FIND(" ",'BOLÃO - PALPITES'!AH32)-1)),0)+IFERROR(VALUE(LEFT('BOLÃO - PALPITES'!F58,FIND(" ",'BOLÃO - PALPITES'!F58)-1)),0)+IFERROR(VALUE(LEFT('BOLÃO - PALPITES'!M58,FIND(" ",'BOLÃO - PALPITES'!M58)-1)),0)+IFERROR(VALUE(LEFT('BOLÃO - PALPITES'!T58,FIND(" ",'BOLÃO - PALPITES'!T58)-1)),0)+IFERROR(VALUE(LEFT('BOLÃO - PALPITES'!H75,FIND(" ",'BOLÃO - PALPITES'!H75)-1)),0)+IFERROR(VALUE(LEFT('BOLÃO - PALPITES'!Q75,FIND(" ",'BOLÃO - PALPITES'!Q75)-1)),0)+IFERROR(VALUE(LEFT('BOLÃO - PALPITES'!Z75,FIND(" ",'BOLÃO - PALPITES'!Z75)-1)),0)+IFERROR(VALUE(LEFT('BOLÃO - PALPITES'!H92,FIND(" ",'BOLÃO - PALPITES'!H92)-1)),0)</f>
        <v>7</v>
      </c>
      <c r="H24" s="5">
        <f>IFERROR(VALUE(MID('BOLÃO - PALPITES'!D23,FIND("(",'BOLÃO - PALPITES'!D23)+1,FIND(")",'BOLÃO - PALPITES'!D23)-FIND("(",'BOLÃO - PALPITES'!D23)-1)),0)+IFERROR(VALUE(MID('BOLÃO - PALPITES'!K23,FIND("(",'BOLÃO - PALPITES'!K23)+1,FIND(")",'BOLÃO - PALPITES'!K23)-FIND("(",'BOLÃO - PALPITES'!K23)-1)),0)+IFERROR(VALUE(MID('BOLÃO - PALPITES'!T23,FIND("(",'BOLÃO - PALPITES'!T23)+1,FIND(")",'BOLÃO - PALPITES'!T23)-FIND("(",'BOLÃO - PALPITES'!T23)-1)),0)+IFERROR(VALUE(MID('BOLÃO - PALPITES'!AA12,FIND("(",'BOLÃO - PALPITES'!AA12)+1,FIND(")",'BOLÃO - PALPITES'!AA12)-FIND("(",'BOLÃO - PALPITES'!AA12)-1)),0)+IFERROR(VALUE(MID('BOLÃO - PALPITES'!AH12,FIND("(",'BOLÃO - PALPITES'!AH12)+1,FIND(")",'BOLÃO - PALPITES'!AH12)-FIND("(",'BOLÃO - PALPITES'!AH12)-1)),0)+IFERROR(VALUE(MID('BOLÃO - PALPITES'!F38,FIND("(",'BOLÃO - PALPITES'!F38)+1,FIND(")",'BOLÃO - PALPITES'!F38)-FIND("(",'BOLÃO - PALPITES'!F38)-1)),0)+IFERROR(VALUE(MID('BOLÃO - PALPITES'!M38,FIND("(",'BOLÃO - PALPITES'!M38)+1,FIND(")",'BOLÃO - PALPITES'!M38)-FIND("(",'BOLÃO - PALPITES'!M38)-1)),0)+IFERROR(VALUE(MID('BOLÃO - PALPITES'!T38,FIND("(",'BOLÃO - PALPITES'!T38)+1,FIND(")",'BOLÃO - PALPITES'!T38)-FIND("(",'BOLÃO - PALPITES'!T38)-1)),0)+IFERROR(VALUE(MID('BOLÃO - PALPITES'!AA38,FIND("(",'BOLÃO - PALPITES'!AA38)+1,FIND(")",'BOLÃO - PALPITES'!AA38)-FIND("(",'BOLÃO - PALPITES'!AA38)-1)),0)+IFERROR(VALUE(MID('BOLÃO - PALPITES'!AH32,FIND("(",'BOLÃO - PALPITES'!AH32)+1,FIND(")",'BOLÃO - PALPITES'!AH32)-FIND("(",'BOLÃO - PALPITES'!AH32)-1)),0)+IFERROR(VALUE(MID('BOLÃO - PALPITES'!F58,FIND("(",'BOLÃO - PALPITES'!F58)+1,FIND(")",'BOLÃO - PALPITES'!F58)-FIND("(",'BOLÃO - PALPITES'!F58)-1)),0)+IFERROR(VALUE(MID('BOLÃO - PALPITES'!M58,FIND("(",'BOLÃO - PALPITES'!M58)+1,FIND(")",'BOLÃO - PALPITES'!M58)-FIND("(",'BOLÃO - PALPITES'!M58)-1)),0)+IFERROR(VALUE(MID('BOLÃO - PALPITES'!T58,FIND("(",'BOLÃO - PALPITES'!T58)+1,FIND(")",'BOLÃO - PALPITES'!T58)-FIND("(",'BOLÃO - PALPITES'!T58)-1)),0)+IFERROR(VALUE(MID('BOLÃO - PALPITES'!H75,FIND("(",'BOLÃO - PALPITES'!H75)+1,FIND(")",'BOLÃO - PALPITES'!H75)-FIND("(",'BOLÃO - PALPITES'!H75)-1)),0)+IFERROR(VALUE(MID('BOLÃO - PALPITES'!Q75,FIND("(",'BOLÃO - PALPITES'!Q75)+1,FIND(")",'BOLÃO - PALPITES'!Q75)-FIND("(",'BOLÃO - PALPITES'!Q75)-1)),0)+IFERROR(VALUE(MID('BOLÃO - PALPITES'!Z75,FIND("(",'BOLÃO - PALPITES'!Z75)+1,FIND(")",'BOLÃO - PALPITES'!Z75)-FIND("(",'BOLÃO - PALPITES'!Z75)-1)),0)+IFERROR(VALUE(MID('BOLÃO - PALPITES'!H92,FIND("(",'BOLÃO - PALPITES'!H92)+1,FIND(")",'BOLÃO - PALPITES'!H92)-FIND("(",'BOLÃO - PALPITES'!H92)-1)),0)</f>
        <v>1</v>
      </c>
      <c r="I24" s="5">
        <f>G24*100000+H24*100+(76)</f>
        <v>700176</v>
      </c>
    </row>
    <row r="25" ht="21.75" customHeight="1">
      <c r="A25" s="29">
        <v>22.0</v>
      </c>
      <c r="B25" s="30" t="str">
        <f t="shared" si="1"/>
        <v>Victor Guimarães</v>
      </c>
      <c r="C25" s="29">
        <f t="shared" si="2"/>
        <v>2</v>
      </c>
      <c r="D25" s="29">
        <f t="shared" si="3"/>
        <v>0</v>
      </c>
      <c r="F25" s="5" t="s">
        <v>93</v>
      </c>
      <c r="G25" s="5">
        <f>IFERROR(VALUE(LEFT('BOLÃO - PALPITES'!D24,FIND(" ",'BOLÃO - PALPITES'!D24)-1)),0)+IFERROR(VALUE(LEFT('BOLÃO - PALPITES'!K24,FIND(" ",'BOLÃO - PALPITES'!K24)-1)),0)+IFERROR(VALUE(LEFT('BOLÃO - PALPITES'!T24,FIND(" ",'BOLÃO - PALPITES'!T24)-1)),0)+IFERROR(VALUE(LEFT('BOLÃO - PALPITES'!AA13,FIND(" ",'BOLÃO - PALPITES'!AA13)-1)),0)+IFERROR(VALUE(LEFT('BOLÃO - PALPITES'!AH13,FIND(" ",'BOLÃO - PALPITES'!AH13)-1)),0)+IFERROR(VALUE(LEFT('BOLÃO - PALPITES'!F39,FIND(" ",'BOLÃO - PALPITES'!F39)-1)),0)+IFERROR(VALUE(LEFT('BOLÃO - PALPITES'!M39,FIND(" ",'BOLÃO - PALPITES'!M39)-1)),0)+IFERROR(VALUE(LEFT('BOLÃO - PALPITES'!T39,FIND(" ",'BOLÃO - PALPITES'!T39)-1)),0)+IFERROR(VALUE(LEFT('BOLÃO - PALPITES'!AA39,FIND(" ",'BOLÃO - PALPITES'!AA39)-1)),0)+IFERROR(VALUE(LEFT('BOLÃO - PALPITES'!AH33,FIND(" ",'BOLÃO - PALPITES'!AH33)-1)),0)+IFERROR(VALUE(LEFT('BOLÃO - PALPITES'!F59,FIND(" ",'BOLÃO - PALPITES'!F59)-1)),0)+IFERROR(VALUE(LEFT('BOLÃO - PALPITES'!M59,FIND(" ",'BOLÃO - PALPITES'!M59)-1)),0)+IFERROR(VALUE(LEFT('BOLÃO - PALPITES'!T59,FIND(" ",'BOLÃO - PALPITES'!T59)-1)),0)+IFERROR(VALUE(LEFT('BOLÃO - PALPITES'!H76,FIND(" ",'BOLÃO - PALPITES'!H76)-1)),0)+IFERROR(VALUE(LEFT('BOLÃO - PALPITES'!Q76,FIND(" ",'BOLÃO - PALPITES'!Q76)-1)),0)+IFERROR(VALUE(LEFT('BOLÃO - PALPITES'!Z76,FIND(" ",'BOLÃO - PALPITES'!Z76)-1)),0)+IFERROR(VALUE(LEFT('BOLÃO - PALPITES'!H93,FIND(" ",'BOLÃO - PALPITES'!H93)-1)),0)</f>
        <v>4</v>
      </c>
      <c r="H25" s="5">
        <f>IFERROR(VALUE(MID('BOLÃO - PALPITES'!D24,FIND("(",'BOLÃO - PALPITES'!D24)+1,FIND(")",'BOLÃO - PALPITES'!D24)-FIND("(",'BOLÃO - PALPITES'!D24)-1)),0)+IFERROR(VALUE(MID('BOLÃO - PALPITES'!K24,FIND("(",'BOLÃO - PALPITES'!K24)+1,FIND(")",'BOLÃO - PALPITES'!K24)-FIND("(",'BOLÃO - PALPITES'!K24)-1)),0)+IFERROR(VALUE(MID('BOLÃO - PALPITES'!T24,FIND("(",'BOLÃO - PALPITES'!T24)+1,FIND(")",'BOLÃO - PALPITES'!T24)-FIND("(",'BOLÃO - PALPITES'!T24)-1)),0)+IFERROR(VALUE(MID('BOLÃO - PALPITES'!AA13,FIND("(",'BOLÃO - PALPITES'!AA13)+1,FIND(")",'BOLÃO - PALPITES'!AA13)-FIND("(",'BOLÃO - PALPITES'!AA13)-1)),0)+IFERROR(VALUE(MID('BOLÃO - PALPITES'!AH13,FIND("(",'BOLÃO - PALPITES'!AH13)+1,FIND(")",'BOLÃO - PALPITES'!AH13)-FIND("(",'BOLÃO - PALPITES'!AH13)-1)),0)+IFERROR(VALUE(MID('BOLÃO - PALPITES'!F39,FIND("(",'BOLÃO - PALPITES'!F39)+1,FIND(")",'BOLÃO - PALPITES'!F39)-FIND("(",'BOLÃO - PALPITES'!F39)-1)),0)+IFERROR(VALUE(MID('BOLÃO - PALPITES'!M39,FIND("(",'BOLÃO - PALPITES'!M39)+1,FIND(")",'BOLÃO - PALPITES'!M39)-FIND("(",'BOLÃO - PALPITES'!M39)-1)),0)+IFERROR(VALUE(MID('BOLÃO - PALPITES'!T39,FIND("(",'BOLÃO - PALPITES'!T39)+1,FIND(")",'BOLÃO - PALPITES'!T39)-FIND("(",'BOLÃO - PALPITES'!T39)-1)),0)+IFERROR(VALUE(MID('BOLÃO - PALPITES'!AA39,FIND("(",'BOLÃO - PALPITES'!AA39)+1,FIND(")",'BOLÃO - PALPITES'!AA39)-FIND("(",'BOLÃO - PALPITES'!AA39)-1)),0)+IFERROR(VALUE(MID('BOLÃO - PALPITES'!AH33,FIND("(",'BOLÃO - PALPITES'!AH33)+1,FIND(")",'BOLÃO - PALPITES'!AH33)-FIND("(",'BOLÃO - PALPITES'!AH33)-1)),0)+IFERROR(VALUE(MID('BOLÃO - PALPITES'!F59,FIND("(",'BOLÃO - PALPITES'!F59)+1,FIND(")",'BOLÃO - PALPITES'!F59)-FIND("(",'BOLÃO - PALPITES'!F59)-1)),0)+IFERROR(VALUE(MID('BOLÃO - PALPITES'!M59,FIND("(",'BOLÃO - PALPITES'!M59)+1,FIND(")",'BOLÃO - PALPITES'!M59)-FIND("(",'BOLÃO - PALPITES'!M59)-1)),0)+IFERROR(VALUE(MID('BOLÃO - PALPITES'!T59,FIND("(",'BOLÃO - PALPITES'!T59)+1,FIND(")",'BOLÃO - PALPITES'!T59)-FIND("(",'BOLÃO - PALPITES'!T59)-1)),0)+IFERROR(VALUE(MID('BOLÃO - PALPITES'!H76,FIND("(",'BOLÃO - PALPITES'!H76)+1,FIND(")",'BOLÃO - PALPITES'!H76)-FIND("(",'BOLÃO - PALPITES'!H76)-1)),0)+IFERROR(VALUE(MID('BOLÃO - PALPITES'!Q76,FIND("(",'BOLÃO - PALPITES'!Q76)+1,FIND(")",'BOLÃO - PALPITES'!Q76)-FIND("(",'BOLÃO - PALPITES'!Q76)-1)),0)+IFERROR(VALUE(MID('BOLÃO - PALPITES'!Z76,FIND("(",'BOLÃO - PALPITES'!Z76)+1,FIND(")",'BOLÃO - PALPITES'!Z76)-FIND("(",'BOLÃO - PALPITES'!Z76)-1)),0)+IFERROR(VALUE(MID('BOLÃO - PALPITES'!H93,FIND("(",'BOLÃO - PALPITES'!H93)+1,FIND(")",'BOLÃO - PALPITES'!H93)-FIND("(",'BOLÃO - PALPITES'!H93)-1)),0)</f>
        <v>0</v>
      </c>
      <c r="I25" s="5">
        <f>G25*100000+H25*100+(75)</f>
        <v>400075</v>
      </c>
    </row>
    <row r="26" ht="15.75" customHeight="1"/>
    <row r="27" ht="15.75" customHeight="1"/>
    <row r="28" ht="15.75" customHeight="1">
      <c r="A28" s="31" t="s">
        <v>237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8:D30"/>
  </mergeCells>
  <printOptions/>
  <pageMargins bottom="0.75" footer="0.0" header="0.0" left="0.7" right="0.7" top="0.75"/>
  <pageSetup orientation="landscape"/>
  <drawing r:id="rId1"/>
</worksheet>
</file>